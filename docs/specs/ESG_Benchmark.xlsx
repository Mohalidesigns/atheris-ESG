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Feature Benchmark" sheetId="2" state="visible" r:id="rId4"/>
    <sheet name="Category Scores" sheetId="3" state="visible" r:id="rId5"/>
    <sheet name="SWOT &amp; Gap Analysis" sheetId="4" state="visible" r:id="rId6"/>
    <sheet name="Improvement Roadmap" sheetId="5" state="visible" r:id="rId7"/>
    <sheet name="Competitive Positioning" sheetId="6" state="visible" r:id="rId8"/>
    <sheet name="Pricing Benchmar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<sst xmlns="http://schemas.openxmlformats.org/spreadsheetml/2006/main" count="549" uniqueCount="385">
  <si>
    <t xml:space="preserve">ESG PRO — GLOBAL COMPETITIVE BENCHMARK &amp; STRATEGIC ANALYSIS</t>
  </si>
  <si>
    <t xml:space="preserve">Prepared: April 2026  |  Classification: Confidential  |  Market: Nigeria &amp; Africa-focused ESG Software</t>
  </si>
  <si>
    <t xml:space="preserve">MARKET OVERVIEW</t>
  </si>
  <si>
    <t xml:space="preserve">Global ESG Software Market (2025)</t>
  </si>
  <si>
    <t xml:space="preserve">$1.2–4.1 Billion</t>
  </si>
  <si>
    <t xml:space="preserve">Growing at 14.5–20.1% CAGR through 2035</t>
  </si>
  <si>
    <t xml:space="preserve">Projected Market Size (2030)</t>
  </si>
  <si>
    <t xml:space="preserve">$2.6–8.9 Billion</t>
  </si>
  <si>
    <t xml:space="preserve">Driven by CSRD, ISSB, SEC mandates</t>
  </si>
  <si>
    <t xml:space="preserve">Africa Addressable Market</t>
  </si>
  <si>
    <t xml:space="preserve">12,500+ organisations</t>
  </si>
  <si>
    <t xml:space="preserve">Listed companies, banks, large enterprises across 8+ countries</t>
  </si>
  <si>
    <t xml:space="preserve">Competitors with Africa-specific solution</t>
  </si>
  <si>
    <t xml:space="preserve">ZERO</t>
  </si>
  <si>
    <t xml:space="preserve">No global vendor has built for African regulatory frameworks</t>
  </si>
  <si>
    <t xml:space="preserve">ESG Pro's First-Mover Advantage</t>
  </si>
  <si>
    <t xml:space="preserve">HIGH</t>
  </si>
  <si>
    <t xml:space="preserve">Only solution with offline-first, African emission factors, local compliance</t>
  </si>
  <si>
    <t xml:space="preserve">KEY FINDINGS</t>
  </si>
  <si>
    <t xml:space="preserve">1</t>
  </si>
  <si>
    <t xml:space="preserve">Africa is completely unserved</t>
  </si>
  <si>
    <t xml:space="preserve">No global ESG vendor (Workiva, IBM Envizi, Persefoni, Diligent, Sphera, OneTrust) has a product tailored to African regulations, emission factors, or infrastructure constraints.</t>
  </si>
  <si>
    <t xml:space="preserve">2</t>
  </si>
  <si>
    <t xml:space="preserve">Your offline-first architecture is unique globally</t>
  </si>
  <si>
    <t xml:space="preserve">No competitor offers SMS/USSD data input, offline-first PWA, or low-bandwidth optimisation — all critical for African field operations.</t>
  </si>
  <si>
    <t xml:space="preserve">3</t>
  </si>
  <si>
    <t xml:space="preserve">Regulatory moat is your strongest differentiator</t>
  </si>
  <si>
    <t xml:space="preserve">Pre-built templates for SEC Nigeria, NGX, CBN NSBP, Kenya CMA, JSE, Tanzania NBAA create switching costs no global vendor can easily replicate.</t>
  </si>
  <si>
    <t xml:space="preserve">4</t>
  </si>
  <si>
    <t xml:space="preserve">Carbon accounting depth needs strengthening</t>
  </si>
  <si>
    <t xml:space="preserve">Watershed, Persefoni, and Sweep lead in Scope 3 automation, LCA, and financed emissions. Your ACMI integration is unique but core carbon engine needs parity.</t>
  </si>
  <si>
    <t xml:space="preserve">5</t>
  </si>
  <si>
    <t xml:space="preserve">AI/ML capabilities are below market leaders</t>
  </si>
  <si>
    <t xml:space="preserve">IBM Envizi, Workiva, and Sweep now offer agentic AI, NLP document extraction, and predictive analytics. Your AI roadmap needs acceleration.</t>
  </si>
  <si>
    <t xml:space="preserve">6</t>
  </si>
  <si>
    <t xml:space="preserve">Pricing strategy is a major advantage</t>
  </si>
  <si>
    <t xml:space="preserve">Global solutions range $25K–$156K/yr. Your tiered, local-currency model (Starter/Pro/Enterprise) unlocks the SME segment entirely.</t>
  </si>
  <si>
    <t xml:space="preserve">7</t>
  </si>
  <si>
    <t xml:space="preserve">Supply chain ESG is a growing battleground</t>
  </si>
  <si>
    <t xml:space="preserve">EcoVadis dominates globally with 89,000+ assessments. Your informal supplier onboarding is differentiated but needs scale.</t>
  </si>
  <si>
    <t xml:space="preserve">8</t>
  </si>
  <si>
    <t xml:space="preserve">DFI/Impact investor reporting is underserved globally</t>
  </si>
  <si>
    <t xml:space="preserve">No competitor offers pre-built AfDB, IFC, Afreximbank templates. This is a unique value proposition for African capital markets.</t>
  </si>
  <si>
    <t xml:space="preserve">FEATURE-BY-FEATURE COMPETITIVE SCORING MATRIX</t>
  </si>
  <si>
    <t xml:space="preserve">Scoring: 5 = Market Leader  |  4 = Strong  |  3 = Adequate  |  2 = Basic  |  1 = Absent/Minimal  |  0 = Not Available</t>
  </si>
  <si>
    <t xml:space="preserve">Category</t>
  </si>
  <si>
    <t xml:space="preserve">Capability</t>
  </si>
  <si>
    <t xml:space="preserve">ESG Pro
(Your Solution)</t>
  </si>
  <si>
    <t xml:space="preserve">Workiva</t>
  </si>
  <si>
    <t xml:space="preserve">IBM Envizi</t>
  </si>
  <si>
    <t xml:space="preserve">Persefoni</t>
  </si>
  <si>
    <t xml:space="preserve">Diligent ESG</t>
  </si>
  <si>
    <t xml:space="preserve">Sphera</t>
  </si>
  <si>
    <t xml:space="preserve">OneTrust ESG</t>
  </si>
  <si>
    <t xml:space="preserve">Sweep</t>
  </si>
  <si>
    <t xml:space="preserve">Watershed</t>
  </si>
  <si>
    <t xml:space="preserve">Salesforce
Net Zero</t>
  </si>
  <si>
    <t xml:space="preserve">SAP Sustain.
Control Tower</t>
  </si>
  <si>
    <t xml:space="preserve">EcoVadis</t>
  </si>
  <si>
    <t xml:space="preserve">Carbon Accounting</t>
  </si>
  <si>
    <t xml:space="preserve">Scope 1 &amp; 2 Calculation</t>
  </si>
  <si>
    <t xml:space="preserve">Scope 3 (Value Chain)</t>
  </si>
  <si>
    <t xml:space="preserve">Financed Emissions (PCAF)</t>
  </si>
  <si>
    <t xml:space="preserve">Africa-Specific Emission Factors</t>
  </si>
  <si>
    <t xml:space="preserve">Gas Flaring Module (O&amp;G)</t>
  </si>
  <si>
    <t xml:space="preserve">Lifecycle Analysis (LCA)</t>
  </si>
  <si>
    <t xml:space="preserve">SBTi Alignment &amp; Tracking</t>
  </si>
  <si>
    <t xml:space="preserve">Regulatory Compliance</t>
  </si>
  <si>
    <t xml:space="preserve">Multi-Framework Mapping (GRI/SASB/TCFD/ISSB)</t>
  </si>
  <si>
    <t xml:space="preserve">CSRD / ESRS Compliance</t>
  </si>
  <si>
    <t xml:space="preserve">African Regulatory Templates (SEC Nigeria, NGX, CBN, etc.)</t>
  </si>
  <si>
    <t xml:space="preserve">Pan-African Compliance (Kenya, SA, Ghana, Tanzania)</t>
  </si>
  <si>
    <t xml:space="preserve">Automated Gap Analysis</t>
  </si>
  <si>
    <t xml:space="preserve">XBRL/iXBRL Tagging</t>
  </si>
  <si>
    <t xml:space="preserve">Regulatory Change Monitoring</t>
  </si>
  <si>
    <t xml:space="preserve">Reporting &amp; Disclosure</t>
  </si>
  <si>
    <t xml:space="preserve">WYSIWYG Report Builder</t>
  </si>
  <si>
    <t xml:space="preserve">Multi-Format Export (PDF/HTML/XBRL/Word)</t>
  </si>
  <si>
    <t xml:space="preserve">Multi-Language (incl. African Languages)</t>
  </si>
  <si>
    <t xml:space="preserve">White-Label Capability</t>
  </si>
  <si>
    <t xml:space="preserve">DFI Templates (AfDB, IFC, Afreximbank)</t>
  </si>
  <si>
    <t xml:space="preserve">Data Management</t>
  </si>
  <si>
    <t xml:space="preserve">Multi-Source API Ingestion</t>
  </si>
  <si>
    <t xml:space="preserve">Offline-First Mobile Data Capture</t>
  </si>
  <si>
    <t xml:space="preserve">SMS/USSD Data Input</t>
  </si>
  <si>
    <t xml:space="preserve">IoT Sensor Integration</t>
  </si>
  <si>
    <t xml:space="preserve">Data Quality Scoring &amp; Anomaly Detection</t>
  </si>
  <si>
    <t xml:space="preserve">Pre-Built ERP Connectors (SAP, Oracle, etc.)</t>
  </si>
  <si>
    <t xml:space="preserve">AI &amp; Analytics</t>
  </si>
  <si>
    <t xml:space="preserve">AI-Powered Predictive Analytics</t>
  </si>
  <si>
    <t xml:space="preserve">NLP Document Extraction</t>
  </si>
  <si>
    <t xml:space="preserve">Agentic AI / Workflow Automation</t>
  </si>
  <si>
    <t xml:space="preserve">Peer Benchmarking (African Context)</t>
  </si>
  <si>
    <t xml:space="preserve">ESG Maturity Scoring</t>
  </si>
  <si>
    <t xml:space="preserve">Scenario Modelling / Decarbonisation Pathways</t>
  </si>
  <si>
    <t xml:space="preserve">Supply Chain</t>
  </si>
  <si>
    <t xml:space="preserve">Supplier ESG Questionnaires &amp; Scoring</t>
  </si>
  <si>
    <t xml:space="preserve">Informal/SME Supplier Onboarding</t>
  </si>
  <si>
    <t xml:space="preserve">Supplier Risk Profiling</t>
  </si>
  <si>
    <t xml:space="preserve">Local African Supply Chain Mapping</t>
  </si>
  <si>
    <t xml:space="preserve">Social &amp; Governance</t>
  </si>
  <si>
    <t xml:space="preserve">Community Impact / Host Community Tracking</t>
  </si>
  <si>
    <t xml:space="preserve">DEI &amp; Labour Rights Tracking</t>
  </si>
  <si>
    <t xml:space="preserve">Board Governance &amp; Ethics</t>
  </si>
  <si>
    <t xml:space="preserve">Whistleblower Channel</t>
  </si>
  <si>
    <t xml:space="preserve">CAMA 2020 / Nigerian Governance Codes</t>
  </si>
  <si>
    <t xml:space="preserve">Carbon Markets</t>
  </si>
  <si>
    <t xml:space="preserve">Carbon Credit Portfolio Management</t>
  </si>
  <si>
    <t xml:space="preserve">ACMI Integration (African Carbon Markets)</t>
  </si>
  <si>
    <t xml:space="preserve">Nature-Based Solutions Registry</t>
  </si>
  <si>
    <t xml:space="preserve">Internal Carbon Pricing Calculator</t>
  </si>
  <si>
    <t xml:space="preserve">Infrastructure &amp; UX</t>
  </si>
  <si>
    <t xml:space="preserve">Low-Bandwidth / 3G Optimisation</t>
  </si>
  <si>
    <t xml:space="preserve">Multi-Currency (NGN, KES, ZAR, GHS)</t>
  </si>
  <si>
    <t xml:space="preserve">Data Residency (Africa)</t>
  </si>
  <si>
    <t xml:space="preserve">Multi-Tenant SaaS with RLS</t>
  </si>
  <si>
    <t xml:space="preserve">Pricing &amp; Access</t>
  </si>
  <si>
    <t xml:space="preserve">Affordable for African SMEs (&lt;$5K/yr tier)</t>
  </si>
  <si>
    <t xml:space="preserve">Local Currency Billing</t>
  </si>
  <si>
    <t xml:space="preserve">Freemium / Pay-as-you-grow</t>
  </si>
  <si>
    <t xml:space="preserve">Training &amp; Capacity</t>
  </si>
  <si>
    <t xml:space="preserve">Contextualised e-Learning (African Market)</t>
  </si>
  <si>
    <t xml:space="preserve">Regulator-Approved Certification Prep</t>
  </si>
  <si>
    <t xml:space="preserve">TOTAL SCORE</t>
  </si>
  <si>
    <t xml:space="preserve">MAX POSSIBLE</t>
  </si>
  <si>
    <t xml:space="preserve">SCORE %</t>
  </si>
  <si>
    <t xml:space="preserve">CATEGORY-LEVEL SCORING SUMMARY</t>
  </si>
  <si>
    <t xml:space="preserve"># Features</t>
  </si>
  <si>
    <t xml:space="preserve">ESG Pro
(Yours)</t>
  </si>
  <si>
    <t xml:space="preserve">IBM
Envizi</t>
  </si>
  <si>
    <t xml:space="preserve">Diligent</t>
  </si>
  <si>
    <t xml:space="preserve">OneTrust</t>
  </si>
  <si>
    <t xml:space="preserve">SAP
Sustain.</t>
  </si>
  <si>
    <t xml:space="preserve">Pricing &amp; Accessibility</t>
  </si>
  <si>
    <t xml:space="preserve">ESG PRO — SWOT ANALYSIS &amp; COMPETITIVE GAP ASSESSMENT</t>
  </si>
  <si>
    <t xml:space="preserve">STRENGTHS (What Sets You Apart)</t>
  </si>
  <si>
    <t xml:space="preserve">S1</t>
  </si>
  <si>
    <t xml:space="preserve">Africa-First Architecture</t>
  </si>
  <si>
    <t xml:space="preserve">Only ESG platform globally with offline-first PWA, SMS/USSD input, low-bandwidth sync, and edge computing. No competitor can serve remote Nigerian/African field operations.</t>
  </si>
  <si>
    <t xml:space="preserve">S2</t>
  </si>
  <si>
    <t xml:space="preserve">Regulatory Moat</t>
  </si>
  <si>
    <t xml:space="preserve">Pre-built templates for SEC Nigeria, NGX, CBN, NAICOM, PenCom, FRCN + Kenya CMA, JSE, Tanzania NBAA, Ghana SEC. 15+ African jurisdictions. Zero competitors offer this.</t>
  </si>
  <si>
    <t xml:space="preserve">S3</t>
  </si>
  <si>
    <t xml:space="preserve">African Emission Factor Library</t>
  </si>
  <si>
    <t xml:space="preserve">Proprietary database: Nigerian grid factors, generator fuel tracking, gas flaring modules, agricultural emission factors for African crops. Globally unique dataset.</t>
  </si>
  <si>
    <t xml:space="preserve">S4</t>
  </si>
  <si>
    <t xml:space="preserve">Community Impact Platform</t>
  </si>
  <si>
    <t xml:space="preserve">Host community tracking (PIA 2021 mandate), social license scoring, grievance management, local content procurement. Critical for O&amp;G/mining — no competitor has this.</t>
  </si>
  <si>
    <t xml:space="preserve">S5</t>
  </si>
  <si>
    <t xml:space="preserve">DFI &amp; Impact Investor Reporting</t>
  </si>
  <si>
    <t xml:space="preserve">Pre-built AfDB, IFC, CDC/BII, Afreximbank, Proparco templates. No global vendor offers development finance institution reporting automation.</t>
  </si>
  <si>
    <t xml:space="preserve">S6</t>
  </si>
  <si>
    <t xml:space="preserve">Pricing Strategy</t>
  </si>
  <si>
    <t xml:space="preserve">Tiered (Starter/Pro/Enterprise), local currency billing (NGN/KES/ZAR/GHS), freemium for SMEs. Global vendors charge $25K-$156K/yr — unaffordable for African mid-market.</t>
  </si>
  <si>
    <t xml:space="preserve">S7</t>
  </si>
  <si>
    <t xml:space="preserve">ACMI &amp; African Carbon Markets</t>
  </si>
  <si>
    <t xml:space="preserve">Direct integration with Africa Carbon Markets Initiative and African carbon registries. No competitor has African carbon market connectivity.</t>
  </si>
  <si>
    <t xml:space="preserve">S8</t>
  </si>
  <si>
    <t xml:space="preserve">Multi-Language (African)</t>
  </si>
  <si>
    <t xml:space="preserve">English, French, Portuguese, Arabic, Swahili, Hausa, Yoruba. Global vendors offer 1-3 European languages only.</t>
  </si>
  <si>
    <t xml:space="preserve">WEAKNESSES (Where You Trail Global Leaders)</t>
  </si>
  <si>
    <t xml:space="preserve">W1</t>
  </si>
  <si>
    <t xml:space="preserve">AI/ML Maturity Gap</t>
  </si>
  <si>
    <t xml:space="preserve">Your AI engine is planned but nascent (scored 1-2). Workiva has agentic AI (March 2026), IBM Envizi uses watsonx.ai for NLP, Sweep has AI decarbonisation pathways. You need to accelerate AI roadmap significantly.</t>
  </si>
  <si>
    <t xml:space="preserve">W2</t>
  </si>
  <si>
    <t xml:space="preserve">Scope 3 Automation Depth</t>
  </si>
  <si>
    <t xml:space="preserve">Watershed leads with LCA capabilities and 60+ pre-built integrations. Your Scope 3 coverage needs spend-based automation, supplier data collection workflows, and activity-based estimation models.</t>
  </si>
  <si>
    <t xml:space="preserve">W3</t>
  </si>
  <si>
    <t xml:space="preserve">CSRD/EU Compliance Gap</t>
  </si>
  <si>
    <t xml:space="preserve">You scored 2/5 on CSRD. For African companies with European market exposure (exports, listings, supply chains), CSRD compliance is becoming mandatory. Workiva, SAP, Sweep score 5/5.</t>
  </si>
  <si>
    <t xml:space="preserve">W4</t>
  </si>
  <si>
    <t xml:space="preserve">ERP Integration Depth</t>
  </si>
  <si>
    <t xml:space="preserve">SAP and Salesforce have native ERP integration. IBM Envizi and Watershed have 60+ connectors. Your pre-built connector library (SAP, Oracle, Dynamics, QuickBooks, Sage) is planned but not yet built.</t>
  </si>
  <si>
    <t xml:space="preserve">W5</t>
  </si>
  <si>
    <t xml:space="preserve">XBRL/iXBRL Maturity</t>
  </si>
  <si>
    <t xml:space="preserve">Workiva leads with SEC-validated XBRL. As ISSB mandates digital filing, your XBRL capability needs strengthening for institutional credibility.</t>
  </si>
  <si>
    <t xml:space="preserve">W6</t>
  </si>
  <si>
    <t xml:space="preserve">Decarbonisation Pathway Modelling</t>
  </si>
  <si>
    <t xml:space="preserve">Sweep and Watershed excel at science-based reduction scenario modelling. Your risk module has scenario analysis but lacks dedicated decarbonisation pathway tools.</t>
  </si>
  <si>
    <t xml:space="preserve">W7</t>
  </si>
  <si>
    <t xml:space="preserve">Brand Recognition &amp; Trust</t>
  </si>
  <si>
    <t xml:space="preserve">As a new entrant, you lack the track record of Workiva (15+ years), IBM, or Diligent. Early customer wins, regulator endorsements, and Big 4 partnerships are critical.</t>
  </si>
  <si>
    <t xml:space="preserve">W8</t>
  </si>
  <si>
    <t xml:space="preserve">Governance Module Depth</t>
  </si>
  <si>
    <t xml:space="preserve">Diligent leads governance (5/5) with deep board management, compensation benchmarking, and GRC convergence. Your governance module needs enrichment to compete for board-level buyers.</t>
  </si>
  <si>
    <t xml:space="preserve">OPPORTUNITIES (Market Gaps to Exploit)</t>
  </si>
  <si>
    <t xml:space="preserve">O1</t>
  </si>
  <si>
    <t xml:space="preserve">2028 Nigerian ISSB Mandate</t>
  </si>
  <si>
    <t xml:space="preserve">Mandatory compliance for all public interest entities creates urgent demand. 200+ listed companies + 34 banks + insurance/pension firms need solutions within 18-24 months.</t>
  </si>
  <si>
    <t xml:space="preserve">O2</t>
  </si>
  <si>
    <t xml:space="preserve">Global Vendor Pricing Barrier</t>
  </si>
  <si>
    <t xml:space="preserve">At $25K-$156K/yr, global solutions are unaffordable for 90%+ of African organisations. Your tiered pricing opens the entire SME segment (10,000+ enterprises).</t>
  </si>
  <si>
    <t xml:space="preserve">O3</t>
  </si>
  <si>
    <t xml:space="preserve">Pan-African Regulatory Convergence</t>
  </si>
  <si>
    <t xml:space="preserve">8 countries adopting ISSB by 2028. A single platform covering all African jurisdictions creates massive switching costs and network effects.</t>
  </si>
  <si>
    <t xml:space="preserve">O4</t>
  </si>
  <si>
    <t xml:space="preserve">ACMI Carbon Market Growth</t>
  </si>
  <si>
    <t xml:space="preserve">300M credits/yr target by 2030. First-mover in African carbon credit management and offset tracking positions you for marketplace revenue.</t>
  </si>
  <si>
    <t xml:space="preserve">O5</t>
  </si>
  <si>
    <t xml:space="preserve">European Supply Chain Compliance</t>
  </si>
  <si>
    <t xml:space="preserve">CSRD requires EU companies to assess supply chain ESG. African exporters need compliance tools, creating pull demand from European corporate buyers.</t>
  </si>
  <si>
    <t xml:space="preserve">O6</t>
  </si>
  <si>
    <t xml:space="preserve">DFI Investment Surge</t>
  </si>
  <si>
    <t xml:space="preserve">AfDB, IFC, and Afreximbank are increasing ESG-linked financing. Automated DFI reporting saves weeks of manual work per funding cycle.</t>
  </si>
  <si>
    <t xml:space="preserve">O7</t>
  </si>
  <si>
    <t xml:space="preserve">Big 4 / Consulting Partnership Channel</t>
  </si>
  <si>
    <t xml:space="preserve">Deloitte, EY, PwC, KPMG Africa practices need ESG platforms for client advisory. White-label capability enables a scalable distribution channel.</t>
  </si>
  <si>
    <t xml:space="preserve">O8</t>
  </si>
  <si>
    <t xml:space="preserve">Green Bond / Sukuk Issuance Growth</t>
  </si>
  <si>
    <t xml:space="preserve">African green bond market is nascent but growing. Post-issuance reporting automation is unaddressed by any platform globally.</t>
  </si>
  <si>
    <t xml:space="preserve">THREATS (Risks to Monitor)</t>
  </si>
  <si>
    <t xml:space="preserve">T1</t>
  </si>
  <si>
    <t xml:space="preserve">Global Vendor African Expansion</t>
  </si>
  <si>
    <t xml:space="preserve">If Workiva, IBM, or Diligent decide to localise for Africa, they bring brand trust, deep pockets, and existing enterprise relationships. Speed-to-market is critical.</t>
  </si>
  <si>
    <t xml:space="preserve">T2</t>
  </si>
  <si>
    <t xml:space="preserve">Regulatory Enforcement Delays</t>
  </si>
  <si>
    <t xml:space="preserve">If Nigerian FRCN delays the 2028 ISSB mandate, demand could slow. Mitigation: position around investor-readiness and global capital access, not just compliance.</t>
  </si>
  <si>
    <t xml:space="preserve">T3</t>
  </si>
  <si>
    <t xml:space="preserve">ESG Fatigue / Political Backlash</t>
  </si>
  <si>
    <t xml:space="preserve">Anti-ESG sentiment in US markets could slow global momentum. However, African adoption is driven by capital access and development finance, not political cycles.</t>
  </si>
  <si>
    <t xml:space="preserve">T4</t>
  </si>
  <si>
    <t xml:space="preserve">Data Infrastructure Limitations</t>
  </si>
  <si>
    <t xml:space="preserve">Persistent connectivity challenges may slow enterprise adoption. Your offline-first approach mitigates this, but ongoing investment in edge computing is essential.</t>
  </si>
  <si>
    <t xml:space="preserve">T5</t>
  </si>
  <si>
    <t xml:space="preserve">Talent Competition</t>
  </si>
  <si>
    <t xml:space="preserve">ESG + tech talent in Africa is scarce. Global firms and local fintechs compete for the same pool. Training academy and university partnerships are key defenses.</t>
  </si>
  <si>
    <t xml:space="preserve">T6</t>
  </si>
  <si>
    <t xml:space="preserve">Currency Volatility</t>
  </si>
  <si>
    <t xml:space="preserve">NGN, KES, ZAR fluctuations impact revenue predictability. Annual pre-payment discounts and dynamic pricing adjustments are essential.</t>
  </si>
  <si>
    <t xml:space="preserve">STRATEGIC IMPROVEMENT ROADMAP — CLOSING COMPETITIVE GAPS</t>
  </si>
  <si>
    <t xml:space="preserve">Priority</t>
  </si>
  <si>
    <t xml:space="preserve">Improvement Area</t>
  </si>
  <si>
    <t xml:space="preserve">Current State</t>
  </si>
  <si>
    <t xml:space="preserve">Target State</t>
  </si>
  <si>
    <t xml:space="preserve">Key Actions</t>
  </si>
  <si>
    <t xml:space="preserve">Timeline</t>
  </si>
  <si>
    <t xml:space="preserve">Impact on
Competitive Score</t>
  </si>
  <si>
    <t xml:space="preserve">Estimated
Investment</t>
  </si>
  <si>
    <t xml:space="preserve">P0
CRITICAL</t>
  </si>
  <si>
    <t xml:space="preserve">AI/ML Engine Acceleration</t>
  </si>
  <si>
    <t xml:space="preserve">Basic analytics planned. NLP extraction and predictive analytics in roadmap but not built. Scored 1-2/5 across AI categories.</t>
  </si>
  <si>
    <t xml:space="preserve">AI-powered NLP document extraction, predictive ESG forecasting, automated anomaly detection, agentic workflow automation. Target score: 4/5.</t>
  </si>
  <si>
    <t xml:space="preserve">1) Hire 2-3 ML engineers with NLP expertise
2) Build NLP pipeline for ESG report extraction (Python FastAPI)
3) Deploy predictive models for emission forecasting
4) Implement agentic AI for automated compliance checks
5) Integrate LLM for natural language ESG queries</t>
  </si>
  <si>
    <t xml:space="preserve">Phase 2-3
(Q1-Q4 2027)</t>
  </si>
  <si>
    <t xml:space="preserve">+8-10 points
(major gap closure)</t>
  </si>
  <si>
    <t xml:space="preserve">$250K-$400K</t>
  </si>
  <si>
    <t xml:space="preserve">Scope 3 Carbon Automation</t>
  </si>
  <si>
    <t xml:space="preserve">Basic Scope 3 calculation. No spend-based automation, limited supplier data collection. Scored 3/5.</t>
  </si>
  <si>
    <t xml:space="preserve">Automated spend-based and activity-based Scope 3 estimation, supplier emissions surveys, LCA capabilities. Target: 4-5/5.</t>
  </si>
  <si>
    <t xml:space="preserve">1) Build spend-based Scope 3 engine (EEIO model)
2) Create supplier emissions survey portal
3) Implement activity-based calculation for key categories
4) Add basic LCA for African value chains
5) Pre-build supplier emission factor libraries</t>
  </si>
  <si>
    <t xml:space="preserve">Phase 2
(Q1-Q2 2027)</t>
  </si>
  <si>
    <t xml:space="preserve">+4-6 points</t>
  </si>
  <si>
    <t xml:space="preserve">$150K-$250K</t>
  </si>
  <si>
    <t xml:space="preserve">P1
HIGH</t>
  </si>
  <si>
    <t xml:space="preserve">CSRD / EU Compliance Module</t>
  </si>
  <si>
    <t xml:space="preserve">Minimal CSRD support (scored 2/5). Missing ESRS double materiality templates and EU Taxonomy alignment tools.</t>
  </si>
  <si>
    <t xml:space="preserve">Full CSRD/ESRS compliance with 12 topical standards, EU Taxonomy alignment, digital filing. Target: 4/5.</t>
  </si>
  <si>
    <t xml:space="preserve">1) Build ESRS template library (all 12 topical standards)
2) Add EU Taxonomy alignment checker
3) Implement CSRD double materiality assessment tool
4) Enable XBRL digital filing for European requirements
5) Partner with EU advisory firms for validation</t>
  </si>
  <si>
    <t xml:space="preserve">Phase 2-3
(Q2-Q4 2027)</t>
  </si>
  <si>
    <t xml:space="preserve">+4-5 points</t>
  </si>
  <si>
    <t xml:space="preserve">$120K-$200K</t>
  </si>
  <si>
    <t xml:space="preserve">ERP Connector Ecosystem</t>
  </si>
  <si>
    <t xml:space="preserve">Planned but unbuilt connectors for SAP, Oracle, Microsoft Dynamics, QuickBooks, Sage. Scored 3/5.</t>
  </si>
  <si>
    <t xml:space="preserve">Pre-built connectors for top 10 ERP/financial systems used in Africa, plus open API marketplace. Target: 4-5/5.</t>
  </si>
  <si>
    <t xml:space="preserve">1) Prioritise SAP Business One and Oracle EBS (most common in Nigerian enterprise)
2) Build QuickBooks and Sage connectors (dominant in African SME)
3) Create integration marketplace for third-party developers
4) Document open APIs with developer portal</t>
  </si>
  <si>
    <t xml:space="preserve">Phase 2
(Q1-Q3 2027)</t>
  </si>
  <si>
    <t xml:space="preserve">+3-4 points</t>
  </si>
  <si>
    <t xml:space="preserve">$100K-$180K</t>
  </si>
  <si>
    <t xml:space="preserve">Scenario analysis exists in risk module but no dedicated reduction pathway tools. Scored 2/5.</t>
  </si>
  <si>
    <t xml:space="preserve">Science-based reduction scenarios (1.5°C/2°C), sector-specific decarbonisation roadmaps, investment ROI modelling. Target: 4/5.</t>
  </si>
  <si>
    <t xml:space="preserve">1) Build SBTi-aligned reduction pathway calculator
2) Create Africa-specific decarbonisation scenarios (energy transition, generator replacement, clean cooking)
3) Add investment ROI modelling for reduction initiatives
4) Integrate with carbon credit marketplace for offset-reduction balance</t>
  </si>
  <si>
    <t xml:space="preserve">Phase 3
(Q3-Q4 2027)</t>
  </si>
  <si>
    <t xml:space="preserve">$80K-$150K</t>
  </si>
  <si>
    <t xml:space="preserve">P2
MEDIUM</t>
  </si>
  <si>
    <t xml:space="preserve">Governance Module Enhancement</t>
  </si>
  <si>
    <t xml:space="preserve">Basic board tracking, CAMA 2020 compliance, whistleblower channel. Scored 3/5 vs Diligent's 5/5.</t>
  </si>
  <si>
    <t xml:space="preserve">Full GRC convergence with board portal, compensation benchmarking, policy lifecycle, risk-governance integration. Target: 4/5.</t>
  </si>
  <si>
    <t xml:space="preserve">1) Add executive compensation benchmarking against ESG KPIs
2) Build board portal with meeting management and voting
3) Enhance policy lifecycle with automated acknowledgment tracking
4) Integrate governance scoring with risk module
5) Add King IV Code and SEC Nigeria Code self-assessment tools</t>
  </si>
  <si>
    <t xml:space="preserve">+2-3 points</t>
  </si>
  <si>
    <t xml:space="preserve">$80K-$120K</t>
  </si>
  <si>
    <t xml:space="preserve">IoT &amp; Real-Time Monitoring</t>
  </si>
  <si>
    <t xml:space="preserve">Planned IoT integration via TimescaleDB. Not yet deployed. Scored 3/5.</t>
  </si>
  <si>
    <t xml:space="preserve">Real-time environmental monitoring from IoT sensors, utility meters, and smart building systems. Target: 4/5.</t>
  </si>
  <si>
    <t xml:space="preserve">1) Build IoT gateway for common African sensors (energy meters, water flow, air quality)
2) Create real-time emissions dashboard with alerts
3) Partner with IoT hardware providers for bundled solutions
4) Implement edge computing for sites with intermittent connectivity</t>
  </si>
  <si>
    <t xml:space="preserve">Phase 3-4
(2027-2028)</t>
  </si>
  <si>
    <t xml:space="preserve">Data Quality &amp; Assurance Engine</t>
  </si>
  <si>
    <t xml:space="preserve">Basic data quality scoring planned. Limited anomaly detection. Scored 3/5.</t>
  </si>
  <si>
    <t xml:space="preserve">Automated data quality scoring, greenwashing detection, audit-ready data lineage tracking. Target: 4-5/5.</t>
  </si>
  <si>
    <t xml:space="preserve">1) Build statistical anomaly detection for ESG data points
2) Implement data lineage tracking from source to disclosure
3) Create data quality dashboard with confidence scores
4) Add third-party assurance workflow integration
5) Build greenwashing flag system</t>
  </si>
  <si>
    <t xml:space="preserve">$80K-$130K</t>
  </si>
  <si>
    <t xml:space="preserve">P3
FUTURE</t>
  </si>
  <si>
    <t xml:space="preserve">Global Market Expansion Features</t>
  </si>
  <si>
    <t xml:space="preserve">Focused on Africa. Limited global framework support beyond core standards.</t>
  </si>
  <si>
    <t xml:space="preserve">Full global compliance capability for African companies expanding internationally and multinationals operating in Africa.</t>
  </si>
  <si>
    <t xml:space="preserve">1) Add SEC climate rule compliance (US-listed African companies)
2) Build CDP integration for environmental disclosure
3) Create APAC regulatory templates (for future expansion)
4) Add TNFD (Taskforce on Nature-related Financial Disclosures) support</t>
  </si>
  <si>
    <t xml:space="preserve">Phase 4
(2028+)</t>
  </si>
  <si>
    <t xml:space="preserve">$60K-$100K</t>
  </si>
  <si>
    <t xml:space="preserve">Marketplace &amp; Ecosystem Platform</t>
  </si>
  <si>
    <t xml:space="preserve">Planned developer ecosystem and API marketplace. Not yet built.</t>
  </si>
  <si>
    <t xml:space="preserve">Open platform with third-party integrations, consulting firm marketplace, data provider partnerships.</t>
  </si>
  <si>
    <t xml:space="preserve">1) Launch developer API marketplace
2) Create consulting firm white-label programme
3) Build data provider partnerships (Bloomberg ESG, Refinitiv)
4) Enable community-contributed regulatory templates
5) Create ESG data exchange for African benchmarking</t>
  </si>
  <si>
    <t xml:space="preserve">$100K-$200K</t>
  </si>
  <si>
    <t xml:space="preserve">COMPETITIVE POSITIONING — ESG PRO vs. GLOBAL LEADERS</t>
  </si>
  <si>
    <t xml:space="preserve">Solution</t>
  </si>
  <si>
    <t xml:space="preserve">Overall
Capability</t>
  </si>
  <si>
    <t xml:space="preserve">Africa
Relevance</t>
  </si>
  <si>
    <t xml:space="preserve">AI/ML
Maturity</t>
  </si>
  <si>
    <t xml:space="preserve">Carbon
Depth</t>
  </si>
  <si>
    <t xml:space="preserve">Pricing
Accessibility</t>
  </si>
  <si>
    <t xml:space="preserve">Market
Position</t>
  </si>
  <si>
    <t xml:space="preserve">ESG Pro (Your Solution)</t>
  </si>
  <si>
    <t xml:space="preserve">Strong</t>
  </si>
  <si>
    <t xml:space="preserve">Dominant</t>
  </si>
  <si>
    <t xml:space="preserve">Emerging</t>
  </si>
  <si>
    <t xml:space="preserve">Best-in-Class</t>
  </si>
  <si>
    <t xml:space="preserve">First Mover (Africa)</t>
  </si>
  <si>
    <t xml:space="preserve">Market Leader</t>
  </si>
  <si>
    <t xml:space="preserve">None</t>
  </si>
  <si>
    <t xml:space="preserve">Advanced</t>
  </si>
  <si>
    <t xml:space="preserve">Enterprise Only</t>
  </si>
  <si>
    <t xml:space="preserve">Global Leader (#1)</t>
  </si>
  <si>
    <t xml:space="preserve">Enterprise Leader</t>
  </si>
  <si>
    <t xml:space="preserve">Specialist</t>
  </si>
  <si>
    <t xml:space="preserve">Specialist (PCAF)</t>
  </si>
  <si>
    <t xml:space="preserve">Financed Emissions Leader</t>
  </si>
  <si>
    <t xml:space="preserve">Minimal</t>
  </si>
  <si>
    <t xml:space="preserve">Moderate</t>
  </si>
  <si>
    <t xml:space="preserve">Modular</t>
  </si>
  <si>
    <t xml:space="preserve">GRC+ESG Leader</t>
  </si>
  <si>
    <t xml:space="preserve">EHS+ESG Leader</t>
  </si>
  <si>
    <t xml:space="preserve">Basic</t>
  </si>
  <si>
    <t xml:space="preserve">Privacy+ESG Niche</t>
  </si>
  <si>
    <t xml:space="preserve">Premium</t>
  </si>
  <si>
    <t xml:space="preserve">Carbon Mgmt Leader (EU)</t>
  </si>
  <si>
    <t xml:space="preserve">Carbon+LCA Leader</t>
  </si>
  <si>
    <t xml:space="preserve">Salesforce Net Zero</t>
  </si>
  <si>
    <t xml:space="preserve">Growing</t>
  </si>
  <si>
    <t xml:space="preserve">Mid-High</t>
  </si>
  <si>
    <t xml:space="preserve">CRM-ESG Niche</t>
  </si>
  <si>
    <t xml:space="preserve">SAP Sustainability</t>
  </si>
  <si>
    <t xml:space="preserve">ERP-ESG Niche</t>
  </si>
  <si>
    <t xml:space="preserve">Mid-Range</t>
  </si>
  <si>
    <t xml:space="preserve">Supply Chain Leader</t>
  </si>
  <si>
    <t xml:space="preserve">PRICING BENCHMARK — ESG PRO vs. GLOBAL COMPETITORS</t>
  </si>
  <si>
    <t xml:space="preserve">Pricing Model</t>
  </si>
  <si>
    <t xml:space="preserve">Annual Range (USD)</t>
  </si>
  <si>
    <t xml:space="preserve">SME Accessible?</t>
  </si>
  <si>
    <t xml:space="preserve">Local Currency?</t>
  </si>
  <si>
    <t xml:space="preserve">Key Notes</t>
  </si>
  <si>
    <t xml:space="preserve">ESG Pro (Yours)</t>
  </si>
  <si>
    <t xml:space="preserve">Tiered SaaS
(Starter/Pro/Enterprise)</t>
  </si>
  <si>
    <t xml:space="preserve">TBD — Target:
$500-$15,000</t>
  </si>
  <si>
    <t xml:space="preserve">YES — Freemium + Starter tier</t>
  </si>
  <si>
    <t xml:space="preserve">YES — NGN, KES,
ZAR, GHS</t>
  </si>
  <si>
    <t xml:space="preserve">Only solution with local currency billing and freemium tier for African SMEs</t>
  </si>
  <si>
    <t xml:space="preserve">Custom Enterprise</t>
  </si>
  <si>
    <t xml:space="preserve">$36,000-$156,000</t>
  </si>
  <si>
    <t xml:space="preserve">NO</t>
  </si>
  <si>
    <t xml:space="preserve">Finance-grade platform; enterprise-only pricing excludes all but largest African corporates</t>
  </si>
  <si>
    <t xml:space="preserve">$50,000+ (estimated)</t>
  </si>
  <si>
    <t xml:space="preserve">Enterprise-grade; requires significant implementation investment on top of license</t>
  </si>
  <si>
    <t xml:space="preserve">$25,000-$100,000</t>
  </si>
  <si>
    <t xml:space="preserve">Primarily for financial institutions; narrow focus limits broad market appeal</t>
  </si>
  <si>
    <t xml:space="preserve">$5,000-$25,000+
per module</t>
  </si>
  <si>
    <t xml:space="preserve">PARTIALLY — entry at $5K</t>
  </si>
  <si>
    <t xml:space="preserve">Modular approach could work for African mid-market but still USD-denominated</t>
  </si>
  <si>
    <t xml:space="preserve">$35,000+</t>
  </si>
  <si>
    <t xml:space="preserve">EHS-heavy pricing; operational focus adds cost for non-industrial buyers</t>
  </si>
  <si>
    <t xml:space="preserve">Custom (est. $30K+)</t>
  </si>
  <si>
    <t xml:space="preserve">NO — 14-day trial only</t>
  </si>
  <si>
    <t xml:space="preserve">Privacy+ESG bundle may not match African buyers' primary ESG needs</t>
  </si>
  <si>
    <t xml:space="preserve">€15,000-€80,000</t>
  </si>
  <si>
    <t xml:space="preserve">NO (EUR only)</t>
  </si>
  <si>
    <t xml:space="preserve">EU-focused pricing and functionality; poor fit for African market needs</t>
  </si>
  <si>
    <t xml:space="preserve">Strong product but premium positioning excludes African mid-market</t>
  </si>
  <si>
    <t xml:space="preserve">CRM-Bundled</t>
  </si>
  <si>
    <t xml:space="preserve">$48,000-$210,000</t>
  </si>
  <si>
    <t xml:space="preserve">Requires Salesforce CRM ecosystem; expensive stand-alone</t>
  </si>
  <si>
    <t xml:space="preserve">ERP-Bundled</t>
  </si>
  <si>
    <t xml:space="preserve">Custom (est. $40K+)</t>
  </si>
  <si>
    <t xml:space="preserve">Requires SAP ecosystem; not viable as standalone ESG platform</t>
  </si>
  <si>
    <t xml:space="preserve">Subscription</t>
  </si>
  <si>
    <t xml:space="preserve">Custom (est. $5K+)</t>
  </si>
  <si>
    <t xml:space="preserve">PARTIALLY</t>
  </si>
  <si>
    <t xml:space="preserve">Supply chain ratings only; not a full ESG management platform</t>
  </si>
</sst>
</file>

<file path=xl/styles.xml><?xml version="1.0" encoding="utf-8"?>
<styleSheet xmlns="http://schemas.openxmlformats.org/spreadsheetml/2006/main">
  <numFmts count="3">
    <numFmt numFmtId="164" formatCode="General"/>
    <numFmt numFmtId="165" formatCode="0.0%"/>
    <numFmt numFmtId="166" formatCode="0.0"/>
  </numFmts>
  <fonts count="31">
    <font>
      <sz val="11"/>
      <color theme="1"/>
      <name val="Calibri"/>
      <family val="2"/>
      <charset val="1"/>
    </font>
    <font>
      <sz val="10"/>
      <name val="Arial"/>
      <family val="0"/>
    </font>
    <font>
      <sz val="10"/>
      <name val="Arial"/>
      <family val="0"/>
    </font>
    <font>
      <sz val="10"/>
      <name val="Arial"/>
      <family val="0"/>
    </font>
    <font>
      <b val="true"/>
      <sz val="16"/>
      <color rgb="FF1A365D"/>
      <name val="Arial"/>
      <family val="0"/>
      <charset val="1"/>
    </font>
    <font>
      <i val="true"/>
      <sz val="10"/>
      <color rgb="FF718096"/>
      <name val="Arial"/>
      <family val="0"/>
      <charset val="1"/>
    </font>
    <font>
      <b val="true"/>
      <sz val="11"/>
      <color rgb="FF1A365D"/>
      <name val="Arial"/>
      <family val="0"/>
      <charset val="1"/>
    </font>
    <font>
      <b val="true"/>
      <sz val="10"/>
      <color rgb="FF2D3748"/>
      <name val="Arial"/>
      <family val="0"/>
      <charset val="1"/>
    </font>
    <font>
      <b val="true"/>
      <sz val="10"/>
      <color rgb="FF2D7D46"/>
      <name val="Arial"/>
      <family val="0"/>
      <charset val="1"/>
    </font>
    <font>
      <sz val="10"/>
      <color rgb="FF2D3748"/>
      <name val="Arial"/>
      <family val="0"/>
      <charset val="1"/>
    </font>
    <font>
      <b val="true"/>
      <sz val="10"/>
      <color rgb="FF1A365D"/>
      <name val="Arial"/>
      <family val="0"/>
      <charset val="1"/>
    </font>
    <font>
      <b val="true"/>
      <sz val="14"/>
      <color rgb="FF1A365D"/>
      <name val="Arial"/>
      <family val="0"/>
      <charset val="1"/>
    </font>
    <font>
      <i val="true"/>
      <sz val="9"/>
      <color rgb="FF718096"/>
      <name val="Arial"/>
      <family val="0"/>
      <charset val="1"/>
    </font>
    <font>
      <b val="true"/>
      <sz val="11"/>
      <color rgb="FFFFFFFF"/>
      <name val="Arial"/>
      <family val="0"/>
      <charset val="1"/>
    </font>
    <font>
      <b val="true"/>
      <sz val="9"/>
      <color rgb="FF1A365D"/>
      <name val="Arial"/>
      <family val="0"/>
      <charset val="1"/>
    </font>
    <font>
      <sz val="10"/>
      <color rgb="FF375623"/>
      <name val="Arial"/>
      <family val="0"/>
      <charset val="1"/>
    </font>
    <font>
      <b val="true"/>
      <sz val="10"/>
      <color rgb="FF006100"/>
      <name val="Arial"/>
      <family val="0"/>
      <charset val="1"/>
    </font>
    <font>
      <sz val="10"/>
      <color rgb="FF7F6000"/>
      <name val="Arial"/>
      <family val="0"/>
      <charset val="1"/>
    </font>
    <font>
      <sz val="10"/>
      <color rgb="FFC0392B"/>
      <name val="Arial"/>
      <family val="0"/>
      <charset val="1"/>
    </font>
    <font>
      <sz val="10"/>
      <color rgb="FF974706"/>
      <name val="Arial"/>
      <family val="0"/>
      <charset val="1"/>
    </font>
    <font>
      <sz val="10"/>
      <color rgb="FF666666"/>
      <name val="Arial"/>
      <family val="0"/>
      <charset val="1"/>
    </font>
    <font>
      <b val="true"/>
      <sz val="12"/>
      <color rgb="FF1A365D"/>
      <name val="Arial"/>
      <family val="0"/>
      <charset val="1"/>
    </font>
    <font>
      <b val="true"/>
      <sz val="10"/>
      <color rgb="FF718096"/>
      <name val="Arial"/>
      <family val="0"/>
      <charset val="1"/>
    </font>
    <font>
      <sz val="10"/>
      <color rgb="FF718096"/>
      <name val="Arial"/>
      <family val="0"/>
      <charset val="1"/>
    </font>
    <font>
      <b val="true"/>
      <sz val="12"/>
      <color rgb="FF006100"/>
      <name val="Arial"/>
      <family val="0"/>
      <charset val="1"/>
    </font>
    <font>
      <b val="true"/>
      <sz val="12"/>
      <color rgb="FFC0392B"/>
      <name val="Arial"/>
      <family val="0"/>
      <charset val="1"/>
    </font>
    <font>
      <b val="true"/>
      <sz val="10"/>
      <color rgb="FFC0392B"/>
      <name val="Arial"/>
      <family val="0"/>
      <charset val="1"/>
    </font>
    <font>
      <b val="true"/>
      <sz val="12"/>
      <color rgb="FFE67E22"/>
      <name val="Arial"/>
      <family val="0"/>
      <charset val="1"/>
    </font>
    <font>
      <b val="true"/>
      <sz val="10"/>
      <color rgb="FFE67E22"/>
      <name val="Arial"/>
      <family val="0"/>
      <charset val="1"/>
    </font>
    <font>
      <b val="true"/>
      <sz val="9"/>
      <color rgb="FFFFFFFF"/>
      <name val="Arial"/>
      <family val="0"/>
      <charset val="1"/>
    </font>
    <font>
      <b val="true"/>
      <sz val="9"/>
      <color rgb="FF2D3748"/>
      <name val="Arial"/>
      <family val="0"/>
      <charset val="1"/>
    </font>
  </fonts>
  <fills count="17">
    <fill>
      <patternFill patternType="none"/>
    </fill>
    <fill>
      <patternFill patternType="gray125"/>
    </fill>
    <fill>
      <patternFill patternType="solid">
        <fgColor rgb="FFEBF5FB"/>
        <bgColor rgb="FFE8F5E9"/>
      </patternFill>
    </fill>
    <fill>
      <patternFill patternType="solid">
        <fgColor rgb="FFE6F4EA"/>
        <bgColor rgb="FFE8F5E9"/>
      </patternFill>
    </fill>
    <fill>
      <patternFill patternType="solid">
        <fgColor rgb="FF1A365D"/>
        <bgColor rgb="FF2D3748"/>
      </patternFill>
    </fill>
    <fill>
      <patternFill patternType="solid">
        <fgColor rgb="FFE2EFDA"/>
        <bgColor rgb="FFE6F4EA"/>
      </patternFill>
    </fill>
    <fill>
      <patternFill patternType="solid">
        <fgColor rgb="FFC6EFCE"/>
        <bgColor rgb="FFE2EFDA"/>
      </patternFill>
    </fill>
    <fill>
      <patternFill patternType="solid">
        <fgColor rgb="FFFFF2CC"/>
        <bgColor rgb="FFFDF2D0"/>
      </patternFill>
    </fill>
    <fill>
      <patternFill patternType="solid">
        <fgColor rgb="FFFDE8E8"/>
        <bgColor rgb="FFFCE4D6"/>
      </patternFill>
    </fill>
    <fill>
      <patternFill patternType="solid">
        <fgColor rgb="FFFCE4D6"/>
        <bgColor rgb="FFFDE8E8"/>
      </patternFill>
    </fill>
    <fill>
      <patternFill patternType="solid">
        <fgColor rgb="FFE0E0E0"/>
        <bgColor rgb="FFD5D8DC"/>
      </patternFill>
    </fill>
    <fill>
      <patternFill patternType="solid">
        <fgColor rgb="FFFDF2D0"/>
        <bgColor rgb="FFFFF2CC"/>
      </patternFill>
    </fill>
    <fill>
      <patternFill patternType="solid">
        <fgColor rgb="FFFEF9E7"/>
        <bgColor rgb="FFFFFFFF"/>
      </patternFill>
    </fill>
    <fill>
      <patternFill patternType="solid">
        <fgColor rgb="FFC0392B"/>
        <bgColor rgb="FF974706"/>
      </patternFill>
    </fill>
    <fill>
      <patternFill patternType="solid">
        <fgColor rgb="FFE67E22"/>
        <bgColor rgb="FFFF8080"/>
      </patternFill>
    </fill>
    <fill>
      <patternFill patternType="solid">
        <fgColor rgb="FFF7DC6F"/>
        <bgColor rgb="FFFCE4D6"/>
      </patternFill>
    </fill>
    <fill>
      <patternFill patternType="solid">
        <fgColor rgb="FFE8F5E9"/>
        <bgColor rgb="FFE6F4EA"/>
      </patternFill>
    </fill>
  </fills>
  <borders count="2">
    <border diagonalUp="false" diagonalDown="false">
      <left/>
      <right/>
      <top/>
      <bottom/>
      <diagonal/>
    </border>
    <border diagonalUp="false" diagonalDown="false">
      <left style="thin">
        <color rgb="FFD5D8DC"/>
      </left>
      <right style="thin">
        <color rgb="FFD5D8DC"/>
      </right>
      <top style="thin">
        <color rgb="FFD5D8DC"/>
      </top>
      <bottom style="thin">
        <color rgb="FFD5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8" fillId="8" borderId="1" xfId="0" applyFont="true" applyBorder="true" applyAlignment="true" applyProtection="false">
      <alignment horizontal="center" vertical="center"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false" applyProtection="false">
      <alignment horizontal="general" vertical="bottom" textRotation="0" wrapText="false" indent="0" shrinkToFit="false"/>
      <protection locked="true" hidden="false"/>
    </xf>
    <xf numFmtId="165" fontId="21" fillId="11"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center" vertical="center" textRotation="0" wrapText="true" indent="0" shrinkToFit="false"/>
      <protection locked="true" hidden="false"/>
    </xf>
    <xf numFmtId="166" fontId="9" fillId="9" borderId="1" xfId="0" applyFont="true" applyBorder="true" applyAlignment="true" applyProtection="false">
      <alignment horizontal="center" vertical="center" textRotation="0" wrapText="true" indent="0" shrinkToFit="false"/>
      <protection locked="true" hidden="false"/>
    </xf>
    <xf numFmtId="166" fontId="9" fillId="8" borderId="1" xfId="0" applyFont="true" applyBorder="tru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4" fontId="24" fillId="6" borderId="0"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false" applyProtection="false">
      <alignment horizontal="general" vertical="bottom" textRotation="0" wrapText="false" indent="0" shrinkToFit="false"/>
      <protection locked="true" hidden="false"/>
    </xf>
    <xf numFmtId="164" fontId="27" fillId="12" borderId="0"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29" fillId="13" borderId="1" xfId="0" applyFont="true" applyBorder="true" applyAlignment="true" applyProtection="false">
      <alignment horizontal="center" vertical="center" textRotation="0" wrapText="true" indent="0" shrinkToFit="false"/>
      <protection locked="true" hidden="false"/>
    </xf>
    <xf numFmtId="164" fontId="29" fillId="14" borderId="1" xfId="0" applyFont="true" applyBorder="true" applyAlignment="true" applyProtection="false">
      <alignment horizontal="center" vertical="center" textRotation="0" wrapText="true" indent="0" shrinkToFit="false"/>
      <protection locked="true" hidden="false"/>
    </xf>
    <xf numFmtId="164" fontId="30" fillId="15"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006100"/>
      <rgbColor rgb="FF000080"/>
      <rgbColor rgb="FF7F6000"/>
      <rgbColor rgb="FF800080"/>
      <rgbColor rgb="FF2D7D46"/>
      <rgbColor rgb="FFE0E0E0"/>
      <rgbColor rgb="FF718096"/>
      <rgbColor rgb="FFEBF5FB"/>
      <rgbColor rgb="FFC0392B"/>
      <rgbColor rgb="FFFFF2CC"/>
      <rgbColor rgb="FFE6F4EA"/>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E8F5E9"/>
      <rgbColor rgb="FFC6EFCE"/>
      <rgbColor rgb="FFFDF2D0"/>
      <rgbColor rgb="FFE2EFDA"/>
      <rgbColor rgb="FFFCE4D6"/>
      <rgbColor rgb="FFFDE8E8"/>
      <rgbColor rgb="FFF7DC6F"/>
      <rgbColor rgb="FF3366FF"/>
      <rgbColor rgb="FF33CCCC"/>
      <rgbColor rgb="FF99CC00"/>
      <rgbColor rgb="FFFFCC00"/>
      <rgbColor rgb="FFD4AF37"/>
      <rgbColor rgb="FFE67E22"/>
      <rgbColor rgb="FF666666"/>
      <rgbColor rgb="FF969696"/>
      <rgbColor rgb="FF1A365D"/>
      <rgbColor rgb="FF319795"/>
      <rgbColor rgb="FF003300"/>
      <rgbColor rgb="FF375623"/>
      <rgbColor rgb="FF974706"/>
      <rgbColor rgb="FF993366"/>
      <rgbColor rgb="FF333399"/>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65D"/>
    <pageSetUpPr fitToPage="false"/>
  </sheetPr>
  <dimension ref="A1:H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8" min="3" style="0" width="18"/>
  </cols>
  <sheetData>
    <row r="1" customFormat="false" ht="39.75" hidden="false" customHeight="tru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c r="B4" s="3"/>
      <c r="C4" s="3"/>
      <c r="D4" s="3"/>
      <c r="E4" s="3"/>
      <c r="F4" s="3"/>
      <c r="G4" s="3"/>
      <c r="H4" s="3"/>
    </row>
    <row r="5" customFormat="false" ht="79.85" hidden="false" customHeight="true" outlineLevel="0" collapsed="false">
      <c r="A5" s="4" t="s">
        <v>3</v>
      </c>
      <c r="B5" s="5" t="s">
        <v>4</v>
      </c>
      <c r="C5" s="6" t="s">
        <v>5</v>
      </c>
      <c r="D5" s="6"/>
      <c r="E5" s="6"/>
      <c r="F5" s="6"/>
      <c r="G5" s="6"/>
      <c r="H5" s="6"/>
    </row>
    <row r="6" customFormat="false" ht="57.45" hidden="false" customHeight="true" outlineLevel="0" collapsed="false">
      <c r="A6" s="4" t="s">
        <v>6</v>
      </c>
      <c r="B6" s="5" t="s">
        <v>7</v>
      </c>
      <c r="C6" s="6" t="s">
        <v>8</v>
      </c>
      <c r="D6" s="6"/>
      <c r="E6" s="6"/>
      <c r="F6" s="6"/>
      <c r="G6" s="6"/>
      <c r="H6" s="6"/>
    </row>
    <row r="7" customFormat="false" ht="68.65" hidden="false" customHeight="true" outlineLevel="0" collapsed="false">
      <c r="A7" s="4" t="s">
        <v>9</v>
      </c>
      <c r="B7" s="5" t="s">
        <v>10</v>
      </c>
      <c r="C7" s="6" t="s">
        <v>11</v>
      </c>
      <c r="D7" s="6"/>
      <c r="E7" s="6"/>
      <c r="F7" s="6"/>
      <c r="G7" s="6"/>
      <c r="H7" s="6"/>
    </row>
    <row r="8" customFormat="false" ht="102.2" hidden="false" customHeight="true" outlineLevel="0" collapsed="false">
      <c r="A8" s="4" t="s">
        <v>12</v>
      </c>
      <c r="B8" s="5" t="s">
        <v>13</v>
      </c>
      <c r="C8" s="6" t="s">
        <v>14</v>
      </c>
      <c r="D8" s="6"/>
      <c r="E8" s="6"/>
      <c r="F8" s="6"/>
      <c r="G8" s="6"/>
      <c r="H8" s="6"/>
    </row>
    <row r="9" customFormat="false" ht="68.65" hidden="false" customHeight="true" outlineLevel="0" collapsed="false">
      <c r="A9" s="4" t="s">
        <v>15</v>
      </c>
      <c r="B9" s="5" t="s">
        <v>16</v>
      </c>
      <c r="C9" s="6" t="s">
        <v>17</v>
      </c>
      <c r="D9" s="6"/>
      <c r="E9" s="6"/>
      <c r="F9" s="6"/>
      <c r="G9" s="6"/>
      <c r="H9" s="6"/>
    </row>
    <row r="11" customFormat="false" ht="15" hidden="false" customHeight="false" outlineLevel="0" collapsed="false">
      <c r="A11" s="7" t="s">
        <v>18</v>
      </c>
      <c r="B11" s="7"/>
      <c r="C11" s="7"/>
      <c r="D11" s="7"/>
      <c r="E11" s="7"/>
      <c r="F11" s="7"/>
      <c r="G11" s="7"/>
      <c r="H11" s="7"/>
    </row>
    <row r="12" customFormat="false" ht="23.85" hidden="false" customHeight="true" outlineLevel="0" collapsed="false">
      <c r="A12" s="8" t="s">
        <v>19</v>
      </c>
      <c r="B12" s="4" t="s">
        <v>20</v>
      </c>
      <c r="C12" s="6" t="s">
        <v>21</v>
      </c>
      <c r="D12" s="6"/>
      <c r="E12" s="6"/>
      <c r="F12" s="6"/>
      <c r="G12" s="6"/>
      <c r="H12" s="6"/>
    </row>
    <row r="13" customFormat="false" ht="23.85" hidden="false" customHeight="true" outlineLevel="0" collapsed="false">
      <c r="A13" s="8" t="s">
        <v>22</v>
      </c>
      <c r="B13" s="4" t="s">
        <v>23</v>
      </c>
      <c r="C13" s="6" t="s">
        <v>24</v>
      </c>
      <c r="D13" s="6"/>
      <c r="E13" s="6"/>
      <c r="F13" s="6"/>
      <c r="G13" s="6"/>
      <c r="H13" s="6"/>
    </row>
    <row r="14" customFormat="false" ht="23.85" hidden="false" customHeight="true" outlineLevel="0" collapsed="false">
      <c r="A14" s="8" t="s">
        <v>25</v>
      </c>
      <c r="B14" s="4" t="s">
        <v>26</v>
      </c>
      <c r="C14" s="6" t="s">
        <v>27</v>
      </c>
      <c r="D14" s="6"/>
      <c r="E14" s="6"/>
      <c r="F14" s="6"/>
      <c r="G14" s="6"/>
      <c r="H14" s="6"/>
    </row>
    <row r="15" customFormat="false" ht="23.85" hidden="false" customHeight="true" outlineLevel="0" collapsed="false">
      <c r="A15" s="8" t="s">
        <v>28</v>
      </c>
      <c r="B15" s="4" t="s">
        <v>29</v>
      </c>
      <c r="C15" s="6" t="s">
        <v>30</v>
      </c>
      <c r="D15" s="6"/>
      <c r="E15" s="6"/>
      <c r="F15" s="6"/>
      <c r="G15" s="6"/>
      <c r="H15" s="6"/>
    </row>
    <row r="16" customFormat="false" ht="23.85" hidden="false" customHeight="true" outlineLevel="0" collapsed="false">
      <c r="A16" s="8" t="s">
        <v>31</v>
      </c>
      <c r="B16" s="4" t="s">
        <v>32</v>
      </c>
      <c r="C16" s="6" t="s">
        <v>33</v>
      </c>
      <c r="D16" s="6"/>
      <c r="E16" s="6"/>
      <c r="F16" s="6"/>
      <c r="G16" s="6"/>
      <c r="H16" s="6"/>
    </row>
    <row r="17" customFormat="false" ht="15" hidden="false" customHeight="true" outlineLevel="0" collapsed="false">
      <c r="A17" s="8" t="s">
        <v>34</v>
      </c>
      <c r="B17" s="4" t="s">
        <v>35</v>
      </c>
      <c r="C17" s="6" t="s">
        <v>36</v>
      </c>
      <c r="D17" s="6"/>
      <c r="E17" s="6"/>
      <c r="F17" s="6"/>
      <c r="G17" s="6"/>
      <c r="H17" s="6"/>
    </row>
    <row r="18" customFormat="false" ht="15" hidden="false" customHeight="true" outlineLevel="0" collapsed="false">
      <c r="A18" s="8" t="s">
        <v>37</v>
      </c>
      <c r="B18" s="4" t="s">
        <v>38</v>
      </c>
      <c r="C18" s="6" t="s">
        <v>39</v>
      </c>
      <c r="D18" s="6"/>
      <c r="E18" s="6"/>
      <c r="F18" s="6"/>
      <c r="G18" s="6"/>
      <c r="H18" s="6"/>
    </row>
    <row r="19" customFormat="false" ht="23.85" hidden="false" customHeight="true" outlineLevel="0" collapsed="false">
      <c r="A19" s="8" t="s">
        <v>40</v>
      </c>
      <c r="B19" s="4" t="s">
        <v>41</v>
      </c>
      <c r="C19" s="6" t="s">
        <v>42</v>
      </c>
      <c r="D19" s="6"/>
      <c r="E19" s="6"/>
      <c r="F19" s="6"/>
      <c r="G19" s="6"/>
      <c r="H19" s="6"/>
    </row>
  </sheetData>
  <mergeCells count="17">
    <mergeCell ref="A1:H1"/>
    <mergeCell ref="A2:H2"/>
    <mergeCell ref="A4:H4"/>
    <mergeCell ref="C5:H5"/>
    <mergeCell ref="C6:H6"/>
    <mergeCell ref="C7:H7"/>
    <mergeCell ref="C8:H8"/>
    <mergeCell ref="C9:H9"/>
    <mergeCell ref="A11:H11"/>
    <mergeCell ref="C12:H12"/>
    <mergeCell ref="C13:H13"/>
    <mergeCell ref="C14:H14"/>
    <mergeCell ref="C15:H15"/>
    <mergeCell ref="C16:H16"/>
    <mergeCell ref="C17:H17"/>
    <mergeCell ref="C18:H18"/>
    <mergeCell ref="C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7D46"/>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14" min="3" style="0" width="14"/>
  </cols>
  <sheetData>
    <row r="1" customFormat="false" ht="34.5" hidden="false" customHeight="true" outlineLevel="0" collapsed="false">
      <c r="A1" s="9" t="s">
        <v>43</v>
      </c>
      <c r="B1" s="9"/>
      <c r="C1" s="9"/>
      <c r="D1" s="9"/>
      <c r="E1" s="9"/>
      <c r="F1" s="9"/>
      <c r="G1" s="9"/>
      <c r="H1" s="9"/>
      <c r="I1" s="9"/>
      <c r="J1" s="9"/>
      <c r="K1" s="9"/>
      <c r="L1" s="9"/>
      <c r="M1" s="9"/>
      <c r="N1" s="9"/>
    </row>
    <row r="2" customFormat="false" ht="15" hidden="false" customHeight="false" outlineLevel="0" collapsed="false">
      <c r="A2" s="10" t="s">
        <v>44</v>
      </c>
      <c r="B2" s="10"/>
      <c r="C2" s="10"/>
      <c r="D2" s="10"/>
      <c r="E2" s="10"/>
      <c r="F2" s="10"/>
      <c r="G2" s="10"/>
      <c r="H2" s="10"/>
      <c r="I2" s="10"/>
      <c r="J2" s="10"/>
      <c r="K2" s="10"/>
      <c r="L2" s="10"/>
      <c r="M2" s="10"/>
      <c r="N2" s="10"/>
    </row>
    <row r="3" customFormat="false" ht="39.75" hidden="false" customHeight="true" outlineLevel="0" collapsed="false">
      <c r="A3" s="11" t="s">
        <v>45</v>
      </c>
      <c r="B3" s="11" t="s">
        <v>46</v>
      </c>
      <c r="C3" s="11" t="s">
        <v>47</v>
      </c>
      <c r="D3" s="11" t="s">
        <v>48</v>
      </c>
      <c r="E3" s="11" t="s">
        <v>49</v>
      </c>
      <c r="F3" s="11" t="s">
        <v>50</v>
      </c>
      <c r="G3" s="11" t="s">
        <v>51</v>
      </c>
      <c r="H3" s="11" t="s">
        <v>52</v>
      </c>
      <c r="I3" s="11" t="s">
        <v>53</v>
      </c>
      <c r="J3" s="11" t="s">
        <v>54</v>
      </c>
      <c r="K3" s="11" t="s">
        <v>55</v>
      </c>
      <c r="L3" s="11" t="s">
        <v>56</v>
      </c>
      <c r="M3" s="11" t="s">
        <v>57</v>
      </c>
      <c r="N3" s="11" t="s">
        <v>58</v>
      </c>
    </row>
    <row r="4" customFormat="false" ht="27.75" hidden="false" customHeight="true" outlineLevel="0" collapsed="false">
      <c r="A4" s="12" t="s">
        <v>59</v>
      </c>
      <c r="B4" s="6" t="s">
        <v>60</v>
      </c>
      <c r="C4" s="13" t="n">
        <v>4</v>
      </c>
      <c r="D4" s="13" t="n">
        <v>4</v>
      </c>
      <c r="E4" s="14" t="n">
        <v>5</v>
      </c>
      <c r="F4" s="14" t="n">
        <v>5</v>
      </c>
      <c r="G4" s="15" t="n">
        <v>3</v>
      </c>
      <c r="H4" s="13" t="n">
        <v>4</v>
      </c>
      <c r="I4" s="15" t="n">
        <v>3</v>
      </c>
      <c r="J4" s="14" t="n">
        <v>5</v>
      </c>
      <c r="K4" s="14" t="n">
        <v>5</v>
      </c>
      <c r="L4" s="13" t="n">
        <v>4</v>
      </c>
      <c r="M4" s="15" t="n">
        <v>3</v>
      </c>
      <c r="N4" s="16" t="n">
        <v>1</v>
      </c>
    </row>
    <row r="5" customFormat="false" ht="27.75" hidden="false" customHeight="true" outlineLevel="0" collapsed="false">
      <c r="A5" s="12" t="s">
        <v>59</v>
      </c>
      <c r="B5" s="6" t="s">
        <v>61</v>
      </c>
      <c r="C5" s="15" t="n">
        <v>3</v>
      </c>
      <c r="D5" s="15" t="n">
        <v>3</v>
      </c>
      <c r="E5" s="14" t="n">
        <v>5</v>
      </c>
      <c r="F5" s="13" t="n">
        <v>4</v>
      </c>
      <c r="G5" s="15" t="n">
        <v>3</v>
      </c>
      <c r="H5" s="15" t="n">
        <v>3</v>
      </c>
      <c r="I5" s="15" t="n">
        <v>3</v>
      </c>
      <c r="J5" s="14" t="n">
        <v>5</v>
      </c>
      <c r="K5" s="14" t="n">
        <v>5</v>
      </c>
      <c r="L5" s="15" t="n">
        <v>3</v>
      </c>
      <c r="M5" s="15" t="n">
        <v>3</v>
      </c>
      <c r="N5" s="17" t="n">
        <v>2</v>
      </c>
    </row>
    <row r="6" customFormat="false" ht="27.75" hidden="false" customHeight="true" outlineLevel="0" collapsed="false">
      <c r="A6" s="12" t="s">
        <v>59</v>
      </c>
      <c r="B6" s="6" t="s">
        <v>62</v>
      </c>
      <c r="C6" s="15" t="n">
        <v>3</v>
      </c>
      <c r="D6" s="13" t="n">
        <v>4</v>
      </c>
      <c r="E6" s="13" t="n">
        <v>4</v>
      </c>
      <c r="F6" s="14" t="n">
        <v>5</v>
      </c>
      <c r="G6" s="13" t="n">
        <v>4</v>
      </c>
      <c r="H6" s="16" t="n">
        <v>1</v>
      </c>
      <c r="I6" s="16" t="n">
        <v>1</v>
      </c>
      <c r="J6" s="15" t="n">
        <v>3</v>
      </c>
      <c r="K6" s="15" t="n">
        <v>3</v>
      </c>
      <c r="L6" s="17" t="n">
        <v>2</v>
      </c>
      <c r="M6" s="17" t="n">
        <v>2</v>
      </c>
      <c r="N6" s="18" t="n">
        <v>0</v>
      </c>
    </row>
    <row r="7" customFormat="false" ht="27.75" hidden="false" customHeight="true" outlineLevel="0" collapsed="false">
      <c r="A7" s="12" t="s">
        <v>59</v>
      </c>
      <c r="B7" s="6" t="s">
        <v>63</v>
      </c>
      <c r="C7" s="14" t="n">
        <v>5</v>
      </c>
      <c r="D7" s="18" t="n">
        <v>0</v>
      </c>
      <c r="E7" s="18" t="n">
        <v>0</v>
      </c>
      <c r="F7" s="18" t="n">
        <v>0</v>
      </c>
      <c r="G7" s="18" t="n">
        <v>0</v>
      </c>
      <c r="H7" s="18" t="n">
        <v>0</v>
      </c>
      <c r="I7" s="18" t="n">
        <v>0</v>
      </c>
      <c r="J7" s="18" t="n">
        <v>0</v>
      </c>
      <c r="K7" s="18" t="n">
        <v>0</v>
      </c>
      <c r="L7" s="18" t="n">
        <v>0</v>
      </c>
      <c r="M7" s="18" t="n">
        <v>0</v>
      </c>
      <c r="N7" s="18" t="n">
        <v>0</v>
      </c>
    </row>
    <row r="8" customFormat="false" ht="27.75" hidden="false" customHeight="true" outlineLevel="0" collapsed="false">
      <c r="A8" s="12" t="s">
        <v>59</v>
      </c>
      <c r="B8" s="6" t="s">
        <v>64</v>
      </c>
      <c r="C8" s="14" t="n">
        <v>5</v>
      </c>
      <c r="D8" s="18" t="n">
        <v>0</v>
      </c>
      <c r="E8" s="16" t="n">
        <v>1</v>
      </c>
      <c r="F8" s="18" t="n">
        <v>0</v>
      </c>
      <c r="G8" s="18" t="n">
        <v>0</v>
      </c>
      <c r="H8" s="15" t="n">
        <v>3</v>
      </c>
      <c r="I8" s="18" t="n">
        <v>0</v>
      </c>
      <c r="J8" s="18" t="n">
        <v>0</v>
      </c>
      <c r="K8" s="18" t="n">
        <v>0</v>
      </c>
      <c r="L8" s="18" t="n">
        <v>0</v>
      </c>
      <c r="M8" s="18" t="n">
        <v>0</v>
      </c>
      <c r="N8" s="18" t="n">
        <v>0</v>
      </c>
    </row>
    <row r="9" customFormat="false" ht="27.75" hidden="false" customHeight="true" outlineLevel="0" collapsed="false">
      <c r="A9" s="12" t="s">
        <v>59</v>
      </c>
      <c r="B9" s="6" t="s">
        <v>65</v>
      </c>
      <c r="C9" s="16" t="n">
        <v>1</v>
      </c>
      <c r="D9" s="16" t="n">
        <v>1</v>
      </c>
      <c r="E9" s="17" t="n">
        <v>2</v>
      </c>
      <c r="F9" s="16" t="n">
        <v>1</v>
      </c>
      <c r="G9" s="16" t="n">
        <v>1</v>
      </c>
      <c r="H9" s="15" t="n">
        <v>3</v>
      </c>
      <c r="I9" s="16" t="n">
        <v>1</v>
      </c>
      <c r="J9" s="17" t="n">
        <v>2</v>
      </c>
      <c r="K9" s="14" t="n">
        <v>5</v>
      </c>
      <c r="L9" s="16" t="n">
        <v>1</v>
      </c>
      <c r="M9" s="16" t="n">
        <v>1</v>
      </c>
      <c r="N9" s="18" t="n">
        <v>0</v>
      </c>
    </row>
    <row r="10" customFormat="false" ht="27.75" hidden="false" customHeight="true" outlineLevel="0" collapsed="false">
      <c r="A10" s="12" t="s">
        <v>59</v>
      </c>
      <c r="B10" s="6" t="s">
        <v>66</v>
      </c>
      <c r="C10" s="15" t="n">
        <v>3</v>
      </c>
      <c r="D10" s="13" t="n">
        <v>4</v>
      </c>
      <c r="E10" s="13" t="n">
        <v>4</v>
      </c>
      <c r="F10" s="13" t="n">
        <v>4</v>
      </c>
      <c r="G10" s="15" t="n">
        <v>3</v>
      </c>
      <c r="H10" s="15" t="n">
        <v>3</v>
      </c>
      <c r="I10" s="15" t="n">
        <v>3</v>
      </c>
      <c r="J10" s="14" t="n">
        <v>5</v>
      </c>
      <c r="K10" s="14" t="n">
        <v>5</v>
      </c>
      <c r="L10" s="15" t="n">
        <v>3</v>
      </c>
      <c r="M10" s="15" t="n">
        <v>3</v>
      </c>
      <c r="N10" s="18" t="n">
        <v>0</v>
      </c>
    </row>
    <row r="11" customFormat="false" ht="27.75" hidden="false" customHeight="true" outlineLevel="0" collapsed="false">
      <c r="A11" s="12" t="s">
        <v>67</v>
      </c>
      <c r="B11" s="6" t="s">
        <v>68</v>
      </c>
      <c r="C11" s="13" t="n">
        <v>4</v>
      </c>
      <c r="D11" s="14" t="n">
        <v>5</v>
      </c>
      <c r="E11" s="13" t="n">
        <v>4</v>
      </c>
      <c r="F11" s="15" t="n">
        <v>3</v>
      </c>
      <c r="G11" s="13" t="n">
        <v>4</v>
      </c>
      <c r="H11" s="13" t="n">
        <v>4</v>
      </c>
      <c r="I11" s="13" t="n">
        <v>4</v>
      </c>
      <c r="J11" s="15" t="n">
        <v>3</v>
      </c>
      <c r="K11" s="13" t="n">
        <v>4</v>
      </c>
      <c r="L11" s="13" t="n">
        <v>4</v>
      </c>
      <c r="M11" s="13" t="n">
        <v>4</v>
      </c>
      <c r="N11" s="17" t="n">
        <v>2</v>
      </c>
    </row>
    <row r="12" customFormat="false" ht="27.75" hidden="false" customHeight="true" outlineLevel="0" collapsed="false">
      <c r="A12" s="12" t="s">
        <v>67</v>
      </c>
      <c r="B12" s="6" t="s">
        <v>69</v>
      </c>
      <c r="C12" s="17" t="n">
        <v>2</v>
      </c>
      <c r="D12" s="14" t="n">
        <v>5</v>
      </c>
      <c r="E12" s="14" t="n">
        <v>5</v>
      </c>
      <c r="F12" s="15" t="n">
        <v>3</v>
      </c>
      <c r="G12" s="13" t="n">
        <v>4</v>
      </c>
      <c r="H12" s="13" t="n">
        <v>4</v>
      </c>
      <c r="I12" s="13" t="n">
        <v>4</v>
      </c>
      <c r="J12" s="14" t="n">
        <v>5</v>
      </c>
      <c r="K12" s="13" t="n">
        <v>4</v>
      </c>
      <c r="L12" s="13" t="n">
        <v>4</v>
      </c>
      <c r="M12" s="14" t="n">
        <v>5</v>
      </c>
      <c r="N12" s="17" t="n">
        <v>2</v>
      </c>
    </row>
    <row r="13" customFormat="false" ht="27.75" hidden="false" customHeight="true" outlineLevel="0" collapsed="false">
      <c r="A13" s="12" t="s">
        <v>67</v>
      </c>
      <c r="B13" s="6" t="s">
        <v>70</v>
      </c>
      <c r="C13" s="14" t="n">
        <v>5</v>
      </c>
      <c r="D13" s="18" t="n">
        <v>0</v>
      </c>
      <c r="E13" s="18" t="n">
        <v>0</v>
      </c>
      <c r="F13" s="18" t="n">
        <v>0</v>
      </c>
      <c r="G13" s="18" t="n">
        <v>0</v>
      </c>
      <c r="H13" s="18" t="n">
        <v>0</v>
      </c>
      <c r="I13" s="18" t="n">
        <v>0</v>
      </c>
      <c r="J13" s="18" t="n">
        <v>0</v>
      </c>
      <c r="K13" s="18" t="n">
        <v>0</v>
      </c>
      <c r="L13" s="18" t="n">
        <v>0</v>
      </c>
      <c r="M13" s="18" t="n">
        <v>0</v>
      </c>
      <c r="N13" s="18" t="n">
        <v>0</v>
      </c>
    </row>
    <row r="14" customFormat="false" ht="27.75" hidden="false" customHeight="true" outlineLevel="0" collapsed="false">
      <c r="A14" s="12" t="s">
        <v>67</v>
      </c>
      <c r="B14" s="6" t="s">
        <v>71</v>
      </c>
      <c r="C14" s="14" t="n">
        <v>5</v>
      </c>
      <c r="D14" s="18" t="n">
        <v>0</v>
      </c>
      <c r="E14" s="18" t="n">
        <v>0</v>
      </c>
      <c r="F14" s="18" t="n">
        <v>0</v>
      </c>
      <c r="G14" s="18" t="n">
        <v>0</v>
      </c>
      <c r="H14" s="18" t="n">
        <v>0</v>
      </c>
      <c r="I14" s="18" t="n">
        <v>0</v>
      </c>
      <c r="J14" s="18" t="n">
        <v>0</v>
      </c>
      <c r="K14" s="18" t="n">
        <v>0</v>
      </c>
      <c r="L14" s="18" t="n">
        <v>0</v>
      </c>
      <c r="M14" s="18" t="n">
        <v>0</v>
      </c>
      <c r="N14" s="18" t="n">
        <v>0</v>
      </c>
    </row>
    <row r="15" customFormat="false" ht="27.75" hidden="false" customHeight="true" outlineLevel="0" collapsed="false">
      <c r="A15" s="12" t="s">
        <v>67</v>
      </c>
      <c r="B15" s="6" t="s">
        <v>72</v>
      </c>
      <c r="C15" s="13" t="n">
        <v>4</v>
      </c>
      <c r="D15" s="14" t="n">
        <v>5</v>
      </c>
      <c r="E15" s="13" t="n">
        <v>4</v>
      </c>
      <c r="F15" s="15" t="n">
        <v>3</v>
      </c>
      <c r="G15" s="13" t="n">
        <v>4</v>
      </c>
      <c r="H15" s="15" t="n">
        <v>3</v>
      </c>
      <c r="I15" s="13" t="n">
        <v>4</v>
      </c>
      <c r="J15" s="15" t="n">
        <v>3</v>
      </c>
      <c r="K15" s="15" t="n">
        <v>3</v>
      </c>
      <c r="L15" s="15" t="n">
        <v>3</v>
      </c>
      <c r="M15" s="13" t="n">
        <v>4</v>
      </c>
      <c r="N15" s="17" t="n">
        <v>2</v>
      </c>
    </row>
    <row r="16" customFormat="false" ht="27.75" hidden="false" customHeight="true" outlineLevel="0" collapsed="false">
      <c r="A16" s="12" t="s">
        <v>67</v>
      </c>
      <c r="B16" s="6" t="s">
        <v>73</v>
      </c>
      <c r="C16" s="15" t="n">
        <v>3</v>
      </c>
      <c r="D16" s="14" t="n">
        <v>5</v>
      </c>
      <c r="E16" s="15" t="n">
        <v>3</v>
      </c>
      <c r="F16" s="17" t="n">
        <v>2</v>
      </c>
      <c r="G16" s="15" t="n">
        <v>3</v>
      </c>
      <c r="H16" s="17" t="n">
        <v>2</v>
      </c>
      <c r="I16" s="17" t="n">
        <v>2</v>
      </c>
      <c r="J16" s="17" t="n">
        <v>2</v>
      </c>
      <c r="K16" s="17" t="n">
        <v>2</v>
      </c>
      <c r="L16" s="17" t="n">
        <v>2</v>
      </c>
      <c r="M16" s="15" t="n">
        <v>3</v>
      </c>
      <c r="N16" s="18" t="n">
        <v>0</v>
      </c>
    </row>
    <row r="17" customFormat="false" ht="27.75" hidden="false" customHeight="true" outlineLevel="0" collapsed="false">
      <c r="A17" s="12" t="s">
        <v>67</v>
      </c>
      <c r="B17" s="6" t="s">
        <v>74</v>
      </c>
      <c r="C17" s="13" t="n">
        <v>4</v>
      </c>
      <c r="D17" s="13" t="n">
        <v>4</v>
      </c>
      <c r="E17" s="15" t="n">
        <v>3</v>
      </c>
      <c r="F17" s="17" t="n">
        <v>2</v>
      </c>
      <c r="G17" s="13" t="n">
        <v>4</v>
      </c>
      <c r="H17" s="15" t="n">
        <v>3</v>
      </c>
      <c r="I17" s="13" t="n">
        <v>4</v>
      </c>
      <c r="J17" s="17" t="n">
        <v>2</v>
      </c>
      <c r="K17" s="17" t="n">
        <v>2</v>
      </c>
      <c r="L17" s="17" t="n">
        <v>2</v>
      </c>
      <c r="M17" s="15" t="n">
        <v>3</v>
      </c>
      <c r="N17" s="16" t="n">
        <v>1</v>
      </c>
    </row>
    <row r="18" customFormat="false" ht="27.75" hidden="false" customHeight="true" outlineLevel="0" collapsed="false">
      <c r="A18" s="12" t="s">
        <v>75</v>
      </c>
      <c r="B18" s="6" t="s">
        <v>76</v>
      </c>
      <c r="C18" s="13" t="n">
        <v>4</v>
      </c>
      <c r="D18" s="14" t="n">
        <v>5</v>
      </c>
      <c r="E18" s="15" t="n">
        <v>3</v>
      </c>
      <c r="F18" s="15" t="n">
        <v>3</v>
      </c>
      <c r="G18" s="15" t="n">
        <v>3</v>
      </c>
      <c r="H18" s="15" t="n">
        <v>3</v>
      </c>
      <c r="I18" s="15" t="n">
        <v>3</v>
      </c>
      <c r="J18" s="15" t="n">
        <v>3</v>
      </c>
      <c r="K18" s="15" t="n">
        <v>3</v>
      </c>
      <c r="L18" s="15" t="n">
        <v>3</v>
      </c>
      <c r="M18" s="15" t="n">
        <v>3</v>
      </c>
      <c r="N18" s="17" t="n">
        <v>2</v>
      </c>
    </row>
    <row r="19" customFormat="false" ht="27.75" hidden="false" customHeight="true" outlineLevel="0" collapsed="false">
      <c r="A19" s="12" t="s">
        <v>75</v>
      </c>
      <c r="B19" s="6" t="s">
        <v>77</v>
      </c>
      <c r="C19" s="13" t="n">
        <v>4</v>
      </c>
      <c r="D19" s="14" t="n">
        <v>5</v>
      </c>
      <c r="E19" s="13" t="n">
        <v>4</v>
      </c>
      <c r="F19" s="15" t="n">
        <v>3</v>
      </c>
      <c r="G19" s="15" t="n">
        <v>3</v>
      </c>
      <c r="H19" s="15" t="n">
        <v>3</v>
      </c>
      <c r="I19" s="15" t="n">
        <v>3</v>
      </c>
      <c r="J19" s="15" t="n">
        <v>3</v>
      </c>
      <c r="K19" s="15" t="n">
        <v>3</v>
      </c>
      <c r="L19" s="15" t="n">
        <v>3</v>
      </c>
      <c r="M19" s="13" t="n">
        <v>4</v>
      </c>
      <c r="N19" s="17" t="n">
        <v>2</v>
      </c>
    </row>
    <row r="20" customFormat="false" ht="27.75" hidden="false" customHeight="true" outlineLevel="0" collapsed="false">
      <c r="A20" s="12" t="s">
        <v>75</v>
      </c>
      <c r="B20" s="6" t="s">
        <v>78</v>
      </c>
      <c r="C20" s="14" t="n">
        <v>5</v>
      </c>
      <c r="D20" s="16" t="n">
        <v>1</v>
      </c>
      <c r="E20" s="16" t="n">
        <v>1</v>
      </c>
      <c r="F20" s="16" t="n">
        <v>1</v>
      </c>
      <c r="G20" s="16" t="n">
        <v>1</v>
      </c>
      <c r="H20" s="16" t="n">
        <v>1</v>
      </c>
      <c r="I20" s="16" t="n">
        <v>1</v>
      </c>
      <c r="J20" s="16" t="n">
        <v>1</v>
      </c>
      <c r="K20" s="16" t="n">
        <v>1</v>
      </c>
      <c r="L20" s="16" t="n">
        <v>1</v>
      </c>
      <c r="M20" s="16" t="n">
        <v>1</v>
      </c>
      <c r="N20" s="16" t="n">
        <v>1</v>
      </c>
    </row>
    <row r="21" customFormat="false" ht="27.75" hidden="false" customHeight="true" outlineLevel="0" collapsed="false">
      <c r="A21" s="12" t="s">
        <v>75</v>
      </c>
      <c r="B21" s="6" t="s">
        <v>79</v>
      </c>
      <c r="C21" s="13" t="n">
        <v>4</v>
      </c>
      <c r="D21" s="15" t="n">
        <v>3</v>
      </c>
      <c r="E21" s="17" t="n">
        <v>2</v>
      </c>
      <c r="F21" s="17" t="n">
        <v>2</v>
      </c>
      <c r="G21" s="17" t="n">
        <v>2</v>
      </c>
      <c r="H21" s="17" t="n">
        <v>2</v>
      </c>
      <c r="I21" s="17" t="n">
        <v>2</v>
      </c>
      <c r="J21" s="17" t="n">
        <v>2</v>
      </c>
      <c r="K21" s="17" t="n">
        <v>2</v>
      </c>
      <c r="L21" s="17" t="n">
        <v>2</v>
      </c>
      <c r="M21" s="17" t="n">
        <v>2</v>
      </c>
      <c r="N21" s="17" t="n">
        <v>2</v>
      </c>
    </row>
    <row r="22" customFormat="false" ht="27.75" hidden="false" customHeight="true" outlineLevel="0" collapsed="false">
      <c r="A22" s="12" t="s">
        <v>75</v>
      </c>
      <c r="B22" s="6" t="s">
        <v>80</v>
      </c>
      <c r="C22" s="14" t="n">
        <v>5</v>
      </c>
      <c r="D22" s="18" t="n">
        <v>0</v>
      </c>
      <c r="E22" s="18" t="n">
        <v>0</v>
      </c>
      <c r="F22" s="18" t="n">
        <v>0</v>
      </c>
      <c r="G22" s="18" t="n">
        <v>0</v>
      </c>
      <c r="H22" s="18" t="n">
        <v>0</v>
      </c>
      <c r="I22" s="18" t="n">
        <v>0</v>
      </c>
      <c r="J22" s="18" t="n">
        <v>0</v>
      </c>
      <c r="K22" s="18" t="n">
        <v>0</v>
      </c>
      <c r="L22" s="18" t="n">
        <v>0</v>
      </c>
      <c r="M22" s="18" t="n">
        <v>0</v>
      </c>
      <c r="N22" s="18" t="n">
        <v>0</v>
      </c>
    </row>
    <row r="23" customFormat="false" ht="27.75" hidden="false" customHeight="true" outlineLevel="0" collapsed="false">
      <c r="A23" s="12" t="s">
        <v>81</v>
      </c>
      <c r="B23" s="6" t="s">
        <v>82</v>
      </c>
      <c r="C23" s="13" t="n">
        <v>4</v>
      </c>
      <c r="D23" s="14" t="n">
        <v>5</v>
      </c>
      <c r="E23" s="14" t="n">
        <v>5</v>
      </c>
      <c r="F23" s="15" t="n">
        <v>3</v>
      </c>
      <c r="G23" s="13" t="n">
        <v>4</v>
      </c>
      <c r="H23" s="13" t="n">
        <v>4</v>
      </c>
      <c r="I23" s="13" t="n">
        <v>4</v>
      </c>
      <c r="J23" s="13" t="n">
        <v>4</v>
      </c>
      <c r="K23" s="14" t="n">
        <v>5</v>
      </c>
      <c r="L23" s="14" t="n">
        <v>5</v>
      </c>
      <c r="M23" s="14" t="n">
        <v>5</v>
      </c>
      <c r="N23" s="17" t="n">
        <v>2</v>
      </c>
    </row>
    <row r="24" customFormat="false" ht="27.75" hidden="false" customHeight="true" outlineLevel="0" collapsed="false">
      <c r="A24" s="12" t="s">
        <v>81</v>
      </c>
      <c r="B24" s="6" t="s">
        <v>83</v>
      </c>
      <c r="C24" s="14" t="n">
        <v>5</v>
      </c>
      <c r="D24" s="18" t="n">
        <v>0</v>
      </c>
      <c r="E24" s="18" t="n">
        <v>0</v>
      </c>
      <c r="F24" s="18" t="n">
        <v>0</v>
      </c>
      <c r="G24" s="18" t="n">
        <v>0</v>
      </c>
      <c r="H24" s="18" t="n">
        <v>0</v>
      </c>
      <c r="I24" s="18" t="n">
        <v>0</v>
      </c>
      <c r="J24" s="18" t="n">
        <v>0</v>
      </c>
      <c r="K24" s="18" t="n">
        <v>0</v>
      </c>
      <c r="L24" s="18" t="n">
        <v>0</v>
      </c>
      <c r="M24" s="18" t="n">
        <v>0</v>
      </c>
      <c r="N24" s="18" t="n">
        <v>0</v>
      </c>
    </row>
    <row r="25" customFormat="false" ht="27.75" hidden="false" customHeight="true" outlineLevel="0" collapsed="false">
      <c r="A25" s="12" t="s">
        <v>81</v>
      </c>
      <c r="B25" s="6" t="s">
        <v>84</v>
      </c>
      <c r="C25" s="14" t="n">
        <v>5</v>
      </c>
      <c r="D25" s="18" t="n">
        <v>0</v>
      </c>
      <c r="E25" s="18" t="n">
        <v>0</v>
      </c>
      <c r="F25" s="18" t="n">
        <v>0</v>
      </c>
      <c r="G25" s="18" t="n">
        <v>0</v>
      </c>
      <c r="H25" s="18" t="n">
        <v>0</v>
      </c>
      <c r="I25" s="18" t="n">
        <v>0</v>
      </c>
      <c r="J25" s="18" t="n">
        <v>0</v>
      </c>
      <c r="K25" s="18" t="n">
        <v>0</v>
      </c>
      <c r="L25" s="18" t="n">
        <v>0</v>
      </c>
      <c r="M25" s="18" t="n">
        <v>0</v>
      </c>
      <c r="N25" s="18" t="n">
        <v>0</v>
      </c>
    </row>
    <row r="26" customFormat="false" ht="27.75" hidden="false" customHeight="true" outlineLevel="0" collapsed="false">
      <c r="A26" s="12" t="s">
        <v>81</v>
      </c>
      <c r="B26" s="6" t="s">
        <v>85</v>
      </c>
      <c r="C26" s="15" t="n">
        <v>3</v>
      </c>
      <c r="D26" s="17" t="n">
        <v>2</v>
      </c>
      <c r="E26" s="13" t="n">
        <v>4</v>
      </c>
      <c r="F26" s="16" t="n">
        <v>1</v>
      </c>
      <c r="G26" s="17" t="n">
        <v>2</v>
      </c>
      <c r="H26" s="14" t="n">
        <v>5</v>
      </c>
      <c r="I26" s="17" t="n">
        <v>2</v>
      </c>
      <c r="J26" s="17" t="n">
        <v>2</v>
      </c>
      <c r="K26" s="15" t="n">
        <v>3</v>
      </c>
      <c r="L26" s="17" t="n">
        <v>2</v>
      </c>
      <c r="M26" s="13" t="n">
        <v>4</v>
      </c>
      <c r="N26" s="18" t="n">
        <v>0</v>
      </c>
    </row>
    <row r="27" customFormat="false" ht="27.75" hidden="false" customHeight="true" outlineLevel="0" collapsed="false">
      <c r="A27" s="12" t="s">
        <v>81</v>
      </c>
      <c r="B27" s="6" t="s">
        <v>86</v>
      </c>
      <c r="C27" s="15" t="n">
        <v>3</v>
      </c>
      <c r="D27" s="13" t="n">
        <v>4</v>
      </c>
      <c r="E27" s="14" t="n">
        <v>5</v>
      </c>
      <c r="F27" s="15" t="n">
        <v>3</v>
      </c>
      <c r="G27" s="15" t="n">
        <v>3</v>
      </c>
      <c r="H27" s="13" t="n">
        <v>4</v>
      </c>
      <c r="I27" s="15" t="n">
        <v>3</v>
      </c>
      <c r="J27" s="15" t="n">
        <v>3</v>
      </c>
      <c r="K27" s="13" t="n">
        <v>4</v>
      </c>
      <c r="L27" s="15" t="n">
        <v>3</v>
      </c>
      <c r="M27" s="15" t="n">
        <v>3</v>
      </c>
      <c r="N27" s="15" t="n">
        <v>3</v>
      </c>
    </row>
    <row r="28" customFormat="false" ht="27.75" hidden="false" customHeight="true" outlineLevel="0" collapsed="false">
      <c r="A28" s="12" t="s">
        <v>81</v>
      </c>
      <c r="B28" s="6" t="s">
        <v>87</v>
      </c>
      <c r="C28" s="15" t="n">
        <v>3</v>
      </c>
      <c r="D28" s="13" t="n">
        <v>4</v>
      </c>
      <c r="E28" s="14" t="n">
        <v>5</v>
      </c>
      <c r="F28" s="17" t="n">
        <v>2</v>
      </c>
      <c r="G28" s="15" t="n">
        <v>3</v>
      </c>
      <c r="H28" s="13" t="n">
        <v>4</v>
      </c>
      <c r="I28" s="15" t="n">
        <v>3</v>
      </c>
      <c r="J28" s="15" t="n">
        <v>3</v>
      </c>
      <c r="K28" s="14" t="n">
        <v>5</v>
      </c>
      <c r="L28" s="14" t="n">
        <v>5</v>
      </c>
      <c r="M28" s="14" t="n">
        <v>5</v>
      </c>
      <c r="N28" s="16" t="n">
        <v>1</v>
      </c>
    </row>
    <row r="29" customFormat="false" ht="27.75" hidden="false" customHeight="true" outlineLevel="0" collapsed="false">
      <c r="A29" s="12" t="s">
        <v>88</v>
      </c>
      <c r="B29" s="6" t="s">
        <v>89</v>
      </c>
      <c r="C29" s="17" t="n">
        <v>2</v>
      </c>
      <c r="D29" s="13" t="n">
        <v>4</v>
      </c>
      <c r="E29" s="14" t="n">
        <v>5</v>
      </c>
      <c r="F29" s="15" t="n">
        <v>3</v>
      </c>
      <c r="G29" s="15" t="n">
        <v>3</v>
      </c>
      <c r="H29" s="15" t="n">
        <v>3</v>
      </c>
      <c r="I29" s="17" t="n">
        <v>2</v>
      </c>
      <c r="J29" s="13" t="n">
        <v>4</v>
      </c>
      <c r="K29" s="13" t="n">
        <v>4</v>
      </c>
      <c r="L29" s="13" t="n">
        <v>4</v>
      </c>
      <c r="M29" s="15" t="n">
        <v>3</v>
      </c>
      <c r="N29" s="17" t="n">
        <v>2</v>
      </c>
    </row>
    <row r="30" customFormat="false" ht="27.75" hidden="false" customHeight="true" outlineLevel="0" collapsed="false">
      <c r="A30" s="12" t="s">
        <v>88</v>
      </c>
      <c r="B30" s="6" t="s">
        <v>90</v>
      </c>
      <c r="C30" s="17" t="n">
        <v>2</v>
      </c>
      <c r="D30" s="13" t="n">
        <v>4</v>
      </c>
      <c r="E30" s="14" t="n">
        <v>5</v>
      </c>
      <c r="F30" s="17" t="n">
        <v>2</v>
      </c>
      <c r="G30" s="17" t="n">
        <v>2</v>
      </c>
      <c r="H30" s="17" t="n">
        <v>2</v>
      </c>
      <c r="I30" s="17" t="n">
        <v>2</v>
      </c>
      <c r="J30" s="15" t="n">
        <v>3</v>
      </c>
      <c r="K30" s="15" t="n">
        <v>3</v>
      </c>
      <c r="L30" s="15" t="n">
        <v>3</v>
      </c>
      <c r="M30" s="15" t="n">
        <v>3</v>
      </c>
      <c r="N30" s="16" t="n">
        <v>1</v>
      </c>
    </row>
    <row r="31" customFormat="false" ht="27.75" hidden="false" customHeight="true" outlineLevel="0" collapsed="false">
      <c r="A31" s="12" t="s">
        <v>88</v>
      </c>
      <c r="B31" s="6" t="s">
        <v>91</v>
      </c>
      <c r="C31" s="16" t="n">
        <v>1</v>
      </c>
      <c r="D31" s="14" t="n">
        <v>5</v>
      </c>
      <c r="E31" s="13" t="n">
        <v>4</v>
      </c>
      <c r="F31" s="17" t="n">
        <v>2</v>
      </c>
      <c r="G31" s="15" t="n">
        <v>3</v>
      </c>
      <c r="H31" s="17" t="n">
        <v>2</v>
      </c>
      <c r="I31" s="17" t="n">
        <v>2</v>
      </c>
      <c r="J31" s="15" t="n">
        <v>3</v>
      </c>
      <c r="K31" s="15" t="n">
        <v>3</v>
      </c>
      <c r="L31" s="13" t="n">
        <v>4</v>
      </c>
      <c r="M31" s="15" t="n">
        <v>3</v>
      </c>
      <c r="N31" s="16" t="n">
        <v>1</v>
      </c>
    </row>
    <row r="32" customFormat="false" ht="27.75" hidden="false" customHeight="true" outlineLevel="0" collapsed="false">
      <c r="A32" s="12" t="s">
        <v>88</v>
      </c>
      <c r="B32" s="6" t="s">
        <v>92</v>
      </c>
      <c r="C32" s="14" t="n">
        <v>5</v>
      </c>
      <c r="D32" s="16" t="n">
        <v>1</v>
      </c>
      <c r="E32" s="16" t="n">
        <v>1</v>
      </c>
      <c r="F32" s="16" t="n">
        <v>1</v>
      </c>
      <c r="G32" s="16" t="n">
        <v>1</v>
      </c>
      <c r="H32" s="16" t="n">
        <v>1</v>
      </c>
      <c r="I32" s="16" t="n">
        <v>1</v>
      </c>
      <c r="J32" s="16" t="n">
        <v>1</v>
      </c>
      <c r="K32" s="16" t="n">
        <v>1</v>
      </c>
      <c r="L32" s="16" t="n">
        <v>1</v>
      </c>
      <c r="M32" s="16" t="n">
        <v>1</v>
      </c>
      <c r="N32" s="16" t="n">
        <v>1</v>
      </c>
    </row>
    <row r="33" customFormat="false" ht="27.75" hidden="false" customHeight="true" outlineLevel="0" collapsed="false">
      <c r="A33" s="12" t="s">
        <v>88</v>
      </c>
      <c r="B33" s="6" t="s">
        <v>93</v>
      </c>
      <c r="C33" s="13" t="n">
        <v>4</v>
      </c>
      <c r="D33" s="15" t="n">
        <v>3</v>
      </c>
      <c r="E33" s="15" t="n">
        <v>3</v>
      </c>
      <c r="F33" s="17" t="n">
        <v>2</v>
      </c>
      <c r="G33" s="15" t="n">
        <v>3</v>
      </c>
      <c r="H33" s="15" t="n">
        <v>3</v>
      </c>
      <c r="I33" s="15" t="n">
        <v>3</v>
      </c>
      <c r="J33" s="17" t="n">
        <v>2</v>
      </c>
      <c r="K33" s="15" t="n">
        <v>3</v>
      </c>
      <c r="L33" s="15" t="n">
        <v>3</v>
      </c>
      <c r="M33" s="15" t="n">
        <v>3</v>
      </c>
      <c r="N33" s="13" t="n">
        <v>4</v>
      </c>
    </row>
    <row r="34" customFormat="false" ht="27.75" hidden="false" customHeight="true" outlineLevel="0" collapsed="false">
      <c r="A34" s="12" t="s">
        <v>88</v>
      </c>
      <c r="B34" s="6" t="s">
        <v>94</v>
      </c>
      <c r="C34" s="17" t="n">
        <v>2</v>
      </c>
      <c r="D34" s="15" t="n">
        <v>3</v>
      </c>
      <c r="E34" s="13" t="n">
        <v>4</v>
      </c>
      <c r="F34" s="15" t="n">
        <v>3</v>
      </c>
      <c r="G34" s="15" t="n">
        <v>3</v>
      </c>
      <c r="H34" s="15" t="n">
        <v>3</v>
      </c>
      <c r="I34" s="17" t="n">
        <v>2</v>
      </c>
      <c r="J34" s="14" t="n">
        <v>5</v>
      </c>
      <c r="K34" s="14" t="n">
        <v>5</v>
      </c>
      <c r="L34" s="15" t="n">
        <v>3</v>
      </c>
      <c r="M34" s="15" t="n">
        <v>3</v>
      </c>
      <c r="N34" s="16" t="n">
        <v>1</v>
      </c>
    </row>
    <row r="35" customFormat="false" ht="27.75" hidden="false" customHeight="true" outlineLevel="0" collapsed="false">
      <c r="A35" s="12" t="s">
        <v>95</v>
      </c>
      <c r="B35" s="6" t="s">
        <v>96</v>
      </c>
      <c r="C35" s="13" t="n">
        <v>4</v>
      </c>
      <c r="D35" s="17" t="n">
        <v>2</v>
      </c>
      <c r="E35" s="15" t="n">
        <v>3</v>
      </c>
      <c r="F35" s="16" t="n">
        <v>1</v>
      </c>
      <c r="G35" s="15" t="n">
        <v>3</v>
      </c>
      <c r="H35" s="15" t="n">
        <v>3</v>
      </c>
      <c r="I35" s="13" t="n">
        <v>4</v>
      </c>
      <c r="J35" s="13" t="n">
        <v>4</v>
      </c>
      <c r="K35" s="13" t="n">
        <v>4</v>
      </c>
      <c r="L35" s="15" t="n">
        <v>3</v>
      </c>
      <c r="M35" s="15" t="n">
        <v>3</v>
      </c>
      <c r="N35" s="14" t="n">
        <v>5</v>
      </c>
    </row>
    <row r="36" customFormat="false" ht="27.75" hidden="false" customHeight="true" outlineLevel="0" collapsed="false">
      <c r="A36" s="12" t="s">
        <v>95</v>
      </c>
      <c r="B36" s="6" t="s">
        <v>97</v>
      </c>
      <c r="C36" s="14" t="n">
        <v>5</v>
      </c>
      <c r="D36" s="18" t="n">
        <v>0</v>
      </c>
      <c r="E36" s="18" t="n">
        <v>0</v>
      </c>
      <c r="F36" s="18" t="n">
        <v>0</v>
      </c>
      <c r="G36" s="18" t="n">
        <v>0</v>
      </c>
      <c r="H36" s="18" t="n">
        <v>0</v>
      </c>
      <c r="I36" s="18" t="n">
        <v>0</v>
      </c>
      <c r="J36" s="18" t="n">
        <v>0</v>
      </c>
      <c r="K36" s="18" t="n">
        <v>0</v>
      </c>
      <c r="L36" s="18" t="n">
        <v>0</v>
      </c>
      <c r="M36" s="18" t="n">
        <v>0</v>
      </c>
      <c r="N36" s="16" t="n">
        <v>1</v>
      </c>
    </row>
    <row r="37" customFormat="false" ht="27.75" hidden="false" customHeight="true" outlineLevel="0" collapsed="false">
      <c r="A37" s="12" t="s">
        <v>95</v>
      </c>
      <c r="B37" s="6" t="s">
        <v>98</v>
      </c>
      <c r="C37" s="15" t="n">
        <v>3</v>
      </c>
      <c r="D37" s="17" t="n">
        <v>2</v>
      </c>
      <c r="E37" s="15" t="n">
        <v>3</v>
      </c>
      <c r="F37" s="16" t="n">
        <v>1</v>
      </c>
      <c r="G37" s="15" t="n">
        <v>3</v>
      </c>
      <c r="H37" s="13" t="n">
        <v>4</v>
      </c>
      <c r="I37" s="13" t="n">
        <v>4</v>
      </c>
      <c r="J37" s="13" t="n">
        <v>4</v>
      </c>
      <c r="K37" s="13" t="n">
        <v>4</v>
      </c>
      <c r="L37" s="15" t="n">
        <v>3</v>
      </c>
      <c r="M37" s="15" t="n">
        <v>3</v>
      </c>
      <c r="N37" s="14" t="n">
        <v>5</v>
      </c>
    </row>
    <row r="38" customFormat="false" ht="27.75" hidden="false" customHeight="true" outlineLevel="0" collapsed="false">
      <c r="A38" s="12" t="s">
        <v>95</v>
      </c>
      <c r="B38" s="6" t="s">
        <v>99</v>
      </c>
      <c r="C38" s="14" t="n">
        <v>5</v>
      </c>
      <c r="D38" s="18" t="n">
        <v>0</v>
      </c>
      <c r="E38" s="18" t="n">
        <v>0</v>
      </c>
      <c r="F38" s="18" t="n">
        <v>0</v>
      </c>
      <c r="G38" s="18" t="n">
        <v>0</v>
      </c>
      <c r="H38" s="18" t="n">
        <v>0</v>
      </c>
      <c r="I38" s="18" t="n">
        <v>0</v>
      </c>
      <c r="J38" s="18" t="n">
        <v>0</v>
      </c>
      <c r="K38" s="18" t="n">
        <v>0</v>
      </c>
      <c r="L38" s="18" t="n">
        <v>0</v>
      </c>
      <c r="M38" s="18" t="n">
        <v>0</v>
      </c>
      <c r="N38" s="18" t="n">
        <v>0</v>
      </c>
    </row>
    <row r="39" customFormat="false" ht="27.75" hidden="false" customHeight="true" outlineLevel="0" collapsed="false">
      <c r="A39" s="12" t="s">
        <v>100</v>
      </c>
      <c r="B39" s="6" t="s">
        <v>101</v>
      </c>
      <c r="C39" s="14" t="n">
        <v>5</v>
      </c>
      <c r="D39" s="18" t="n">
        <v>0</v>
      </c>
      <c r="E39" s="18" t="n">
        <v>0</v>
      </c>
      <c r="F39" s="18" t="n">
        <v>0</v>
      </c>
      <c r="G39" s="16" t="n">
        <v>1</v>
      </c>
      <c r="H39" s="17" t="n">
        <v>2</v>
      </c>
      <c r="I39" s="18" t="n">
        <v>0</v>
      </c>
      <c r="J39" s="18" t="n">
        <v>0</v>
      </c>
      <c r="K39" s="18" t="n">
        <v>0</v>
      </c>
      <c r="L39" s="18" t="n">
        <v>0</v>
      </c>
      <c r="M39" s="18" t="n">
        <v>0</v>
      </c>
      <c r="N39" s="18" t="n">
        <v>0</v>
      </c>
    </row>
    <row r="40" customFormat="false" ht="27.75" hidden="false" customHeight="true" outlineLevel="0" collapsed="false">
      <c r="A40" s="12" t="s">
        <v>100</v>
      </c>
      <c r="B40" s="6" t="s">
        <v>102</v>
      </c>
      <c r="C40" s="13" t="n">
        <v>4</v>
      </c>
      <c r="D40" s="15" t="n">
        <v>3</v>
      </c>
      <c r="E40" s="17" t="n">
        <v>2</v>
      </c>
      <c r="F40" s="16" t="n">
        <v>1</v>
      </c>
      <c r="G40" s="13" t="n">
        <v>4</v>
      </c>
      <c r="H40" s="13" t="n">
        <v>4</v>
      </c>
      <c r="I40" s="15" t="n">
        <v>3</v>
      </c>
      <c r="J40" s="16" t="n">
        <v>1</v>
      </c>
      <c r="K40" s="17" t="n">
        <v>2</v>
      </c>
      <c r="L40" s="17" t="n">
        <v>2</v>
      </c>
      <c r="M40" s="15" t="n">
        <v>3</v>
      </c>
      <c r="N40" s="15" t="n">
        <v>3</v>
      </c>
    </row>
    <row r="41" customFormat="false" ht="27.75" hidden="false" customHeight="true" outlineLevel="0" collapsed="false">
      <c r="A41" s="12" t="s">
        <v>100</v>
      </c>
      <c r="B41" s="6" t="s">
        <v>103</v>
      </c>
      <c r="C41" s="15" t="n">
        <v>3</v>
      </c>
      <c r="D41" s="15" t="n">
        <v>3</v>
      </c>
      <c r="E41" s="17" t="n">
        <v>2</v>
      </c>
      <c r="F41" s="16" t="n">
        <v>1</v>
      </c>
      <c r="G41" s="14" t="n">
        <v>5</v>
      </c>
      <c r="H41" s="17" t="n">
        <v>2</v>
      </c>
      <c r="I41" s="15" t="n">
        <v>3</v>
      </c>
      <c r="J41" s="16" t="n">
        <v>1</v>
      </c>
      <c r="K41" s="16" t="n">
        <v>1</v>
      </c>
      <c r="L41" s="17" t="n">
        <v>2</v>
      </c>
      <c r="M41" s="17" t="n">
        <v>2</v>
      </c>
      <c r="N41" s="17" t="n">
        <v>2</v>
      </c>
    </row>
    <row r="42" customFormat="false" ht="27.75" hidden="false" customHeight="true" outlineLevel="0" collapsed="false">
      <c r="A42" s="12" t="s">
        <v>100</v>
      </c>
      <c r="B42" s="6" t="s">
        <v>104</v>
      </c>
      <c r="C42" s="13" t="n">
        <v>4</v>
      </c>
      <c r="D42" s="17" t="n">
        <v>2</v>
      </c>
      <c r="E42" s="16" t="n">
        <v>1</v>
      </c>
      <c r="F42" s="18" t="n">
        <v>0</v>
      </c>
      <c r="G42" s="13" t="n">
        <v>4</v>
      </c>
      <c r="H42" s="15" t="n">
        <v>3</v>
      </c>
      <c r="I42" s="15" t="n">
        <v>3</v>
      </c>
      <c r="J42" s="18" t="n">
        <v>0</v>
      </c>
      <c r="K42" s="18" t="n">
        <v>0</v>
      </c>
      <c r="L42" s="16" t="n">
        <v>1</v>
      </c>
      <c r="M42" s="16" t="n">
        <v>1</v>
      </c>
      <c r="N42" s="16" t="n">
        <v>1</v>
      </c>
    </row>
    <row r="43" customFormat="false" ht="27.75" hidden="false" customHeight="true" outlineLevel="0" collapsed="false">
      <c r="A43" s="12" t="s">
        <v>100</v>
      </c>
      <c r="B43" s="6" t="s">
        <v>105</v>
      </c>
      <c r="C43" s="14" t="n">
        <v>5</v>
      </c>
      <c r="D43" s="18" t="n">
        <v>0</v>
      </c>
      <c r="E43" s="18" t="n">
        <v>0</v>
      </c>
      <c r="F43" s="18" t="n">
        <v>0</v>
      </c>
      <c r="G43" s="18" t="n">
        <v>0</v>
      </c>
      <c r="H43" s="18" t="n">
        <v>0</v>
      </c>
      <c r="I43" s="18" t="n">
        <v>0</v>
      </c>
      <c r="J43" s="18" t="n">
        <v>0</v>
      </c>
      <c r="K43" s="18" t="n">
        <v>0</v>
      </c>
      <c r="L43" s="18" t="n">
        <v>0</v>
      </c>
      <c r="M43" s="18" t="n">
        <v>0</v>
      </c>
      <c r="N43" s="18" t="n">
        <v>0</v>
      </c>
    </row>
    <row r="44" customFormat="false" ht="27.75" hidden="false" customHeight="true" outlineLevel="0" collapsed="false">
      <c r="A44" s="12" t="s">
        <v>106</v>
      </c>
      <c r="B44" s="6" t="s">
        <v>107</v>
      </c>
      <c r="C44" s="13" t="n">
        <v>4</v>
      </c>
      <c r="D44" s="16" t="n">
        <v>1</v>
      </c>
      <c r="E44" s="17" t="n">
        <v>2</v>
      </c>
      <c r="F44" s="15" t="n">
        <v>3</v>
      </c>
      <c r="G44" s="16" t="n">
        <v>1</v>
      </c>
      <c r="H44" s="16" t="n">
        <v>1</v>
      </c>
      <c r="I44" s="16" t="n">
        <v>1</v>
      </c>
      <c r="J44" s="15" t="n">
        <v>3</v>
      </c>
      <c r="K44" s="15" t="n">
        <v>3</v>
      </c>
      <c r="L44" s="17" t="n">
        <v>2</v>
      </c>
      <c r="M44" s="16" t="n">
        <v>1</v>
      </c>
      <c r="N44" s="18" t="n">
        <v>0</v>
      </c>
    </row>
    <row r="45" customFormat="false" ht="27.75" hidden="false" customHeight="true" outlineLevel="0" collapsed="false">
      <c r="A45" s="12" t="s">
        <v>106</v>
      </c>
      <c r="B45" s="6" t="s">
        <v>108</v>
      </c>
      <c r="C45" s="14" t="n">
        <v>5</v>
      </c>
      <c r="D45" s="18" t="n">
        <v>0</v>
      </c>
      <c r="E45" s="18" t="n">
        <v>0</v>
      </c>
      <c r="F45" s="18" t="n">
        <v>0</v>
      </c>
      <c r="G45" s="18" t="n">
        <v>0</v>
      </c>
      <c r="H45" s="18" t="n">
        <v>0</v>
      </c>
      <c r="I45" s="18" t="n">
        <v>0</v>
      </c>
      <c r="J45" s="18" t="n">
        <v>0</v>
      </c>
      <c r="K45" s="18" t="n">
        <v>0</v>
      </c>
      <c r="L45" s="18" t="n">
        <v>0</v>
      </c>
      <c r="M45" s="18" t="n">
        <v>0</v>
      </c>
      <c r="N45" s="18" t="n">
        <v>0</v>
      </c>
    </row>
    <row r="46" customFormat="false" ht="27.75" hidden="false" customHeight="true" outlineLevel="0" collapsed="false">
      <c r="A46" s="12" t="s">
        <v>106</v>
      </c>
      <c r="B46" s="6" t="s">
        <v>109</v>
      </c>
      <c r="C46" s="13" t="n">
        <v>4</v>
      </c>
      <c r="D46" s="18" t="n">
        <v>0</v>
      </c>
      <c r="E46" s="16" t="n">
        <v>1</v>
      </c>
      <c r="F46" s="16" t="n">
        <v>1</v>
      </c>
      <c r="G46" s="18" t="n">
        <v>0</v>
      </c>
      <c r="H46" s="16" t="n">
        <v>1</v>
      </c>
      <c r="I46" s="18" t="n">
        <v>0</v>
      </c>
      <c r="J46" s="16" t="n">
        <v>1</v>
      </c>
      <c r="K46" s="17" t="n">
        <v>2</v>
      </c>
      <c r="L46" s="16" t="n">
        <v>1</v>
      </c>
      <c r="M46" s="18" t="n">
        <v>0</v>
      </c>
      <c r="N46" s="18" t="n">
        <v>0</v>
      </c>
    </row>
    <row r="47" customFormat="false" ht="27.75" hidden="false" customHeight="true" outlineLevel="0" collapsed="false">
      <c r="A47" s="12" t="s">
        <v>106</v>
      </c>
      <c r="B47" s="6" t="s">
        <v>110</v>
      </c>
      <c r="C47" s="15" t="n">
        <v>3</v>
      </c>
      <c r="D47" s="17" t="n">
        <v>2</v>
      </c>
      <c r="E47" s="15" t="n">
        <v>3</v>
      </c>
      <c r="F47" s="15" t="n">
        <v>3</v>
      </c>
      <c r="G47" s="17" t="n">
        <v>2</v>
      </c>
      <c r="H47" s="17" t="n">
        <v>2</v>
      </c>
      <c r="I47" s="16" t="n">
        <v>1</v>
      </c>
      <c r="J47" s="13" t="n">
        <v>4</v>
      </c>
      <c r="K47" s="13" t="n">
        <v>4</v>
      </c>
      <c r="L47" s="17" t="n">
        <v>2</v>
      </c>
      <c r="M47" s="17" t="n">
        <v>2</v>
      </c>
      <c r="N47" s="18" t="n">
        <v>0</v>
      </c>
    </row>
    <row r="48" customFormat="false" ht="27.75" hidden="false" customHeight="true" outlineLevel="0" collapsed="false">
      <c r="A48" s="12" t="s">
        <v>111</v>
      </c>
      <c r="B48" s="6" t="s">
        <v>112</v>
      </c>
      <c r="C48" s="14" t="n">
        <v>5</v>
      </c>
      <c r="D48" s="16" t="n">
        <v>1</v>
      </c>
      <c r="E48" s="16" t="n">
        <v>1</v>
      </c>
      <c r="F48" s="16" t="n">
        <v>1</v>
      </c>
      <c r="G48" s="16" t="n">
        <v>1</v>
      </c>
      <c r="H48" s="16" t="n">
        <v>1</v>
      </c>
      <c r="I48" s="16" t="n">
        <v>1</v>
      </c>
      <c r="J48" s="16" t="n">
        <v>1</v>
      </c>
      <c r="K48" s="16" t="n">
        <v>1</v>
      </c>
      <c r="L48" s="16" t="n">
        <v>1</v>
      </c>
      <c r="M48" s="16" t="n">
        <v>1</v>
      </c>
      <c r="N48" s="16" t="n">
        <v>1</v>
      </c>
    </row>
    <row r="49" customFormat="false" ht="27.75" hidden="false" customHeight="true" outlineLevel="0" collapsed="false">
      <c r="A49" s="12" t="s">
        <v>111</v>
      </c>
      <c r="B49" s="6" t="s">
        <v>113</v>
      </c>
      <c r="C49" s="14" t="n">
        <v>5</v>
      </c>
      <c r="D49" s="16" t="n">
        <v>1</v>
      </c>
      <c r="E49" s="16" t="n">
        <v>1</v>
      </c>
      <c r="F49" s="16" t="n">
        <v>1</v>
      </c>
      <c r="G49" s="16" t="n">
        <v>1</v>
      </c>
      <c r="H49" s="16" t="n">
        <v>1</v>
      </c>
      <c r="I49" s="16" t="n">
        <v>1</v>
      </c>
      <c r="J49" s="16" t="n">
        <v>1</v>
      </c>
      <c r="K49" s="16" t="n">
        <v>1</v>
      </c>
      <c r="L49" s="16" t="n">
        <v>1</v>
      </c>
      <c r="M49" s="16" t="n">
        <v>1</v>
      </c>
      <c r="N49" s="16" t="n">
        <v>1</v>
      </c>
    </row>
    <row r="50" customFormat="false" ht="27.75" hidden="false" customHeight="true" outlineLevel="0" collapsed="false">
      <c r="A50" s="12" t="s">
        <v>111</v>
      </c>
      <c r="B50" s="6" t="s">
        <v>114</v>
      </c>
      <c r="C50" s="14" t="n">
        <v>5</v>
      </c>
      <c r="D50" s="16" t="n">
        <v>1</v>
      </c>
      <c r="E50" s="16" t="n">
        <v>1</v>
      </c>
      <c r="F50" s="18" t="n">
        <v>0</v>
      </c>
      <c r="G50" s="16" t="n">
        <v>1</v>
      </c>
      <c r="H50" s="16" t="n">
        <v>1</v>
      </c>
      <c r="I50" s="16" t="n">
        <v>1</v>
      </c>
      <c r="J50" s="18" t="n">
        <v>0</v>
      </c>
      <c r="K50" s="18" t="n">
        <v>0</v>
      </c>
      <c r="L50" s="16" t="n">
        <v>1</v>
      </c>
      <c r="M50" s="16" t="n">
        <v>1</v>
      </c>
      <c r="N50" s="18" t="n">
        <v>0</v>
      </c>
    </row>
    <row r="51" customFormat="false" ht="27.75" hidden="false" customHeight="true" outlineLevel="0" collapsed="false">
      <c r="A51" s="12" t="s">
        <v>111</v>
      </c>
      <c r="B51" s="6" t="s">
        <v>115</v>
      </c>
      <c r="C51" s="14" t="n">
        <v>5</v>
      </c>
      <c r="D51" s="14" t="n">
        <v>5</v>
      </c>
      <c r="E51" s="14" t="n">
        <v>5</v>
      </c>
      <c r="F51" s="13" t="n">
        <v>4</v>
      </c>
      <c r="G51" s="14" t="n">
        <v>5</v>
      </c>
      <c r="H51" s="13" t="n">
        <v>4</v>
      </c>
      <c r="I51" s="14" t="n">
        <v>5</v>
      </c>
      <c r="J51" s="13" t="n">
        <v>4</v>
      </c>
      <c r="K51" s="13" t="n">
        <v>4</v>
      </c>
      <c r="L51" s="14" t="n">
        <v>5</v>
      </c>
      <c r="M51" s="14" t="n">
        <v>5</v>
      </c>
      <c r="N51" s="15" t="n">
        <v>3</v>
      </c>
    </row>
    <row r="52" customFormat="false" ht="27.75" hidden="false" customHeight="true" outlineLevel="0" collapsed="false">
      <c r="A52" s="12" t="s">
        <v>116</v>
      </c>
      <c r="B52" s="6" t="s">
        <v>117</v>
      </c>
      <c r="C52" s="14" t="n">
        <v>5</v>
      </c>
      <c r="D52" s="18" t="n">
        <v>0</v>
      </c>
      <c r="E52" s="18" t="n">
        <v>0</v>
      </c>
      <c r="F52" s="18" t="n">
        <v>0</v>
      </c>
      <c r="G52" s="16" t="n">
        <v>1</v>
      </c>
      <c r="H52" s="18" t="n">
        <v>0</v>
      </c>
      <c r="I52" s="18" t="n">
        <v>0</v>
      </c>
      <c r="J52" s="18" t="n">
        <v>0</v>
      </c>
      <c r="K52" s="18" t="n">
        <v>0</v>
      </c>
      <c r="L52" s="18" t="n">
        <v>0</v>
      </c>
      <c r="M52" s="18" t="n">
        <v>0</v>
      </c>
      <c r="N52" s="16" t="n">
        <v>1</v>
      </c>
    </row>
    <row r="53" customFormat="false" ht="27.75" hidden="false" customHeight="true" outlineLevel="0" collapsed="false">
      <c r="A53" s="12" t="s">
        <v>116</v>
      </c>
      <c r="B53" s="6" t="s">
        <v>118</v>
      </c>
      <c r="C53" s="14" t="n">
        <v>5</v>
      </c>
      <c r="D53" s="18" t="n">
        <v>0</v>
      </c>
      <c r="E53" s="18" t="n">
        <v>0</v>
      </c>
      <c r="F53" s="18" t="n">
        <v>0</v>
      </c>
      <c r="G53" s="18" t="n">
        <v>0</v>
      </c>
      <c r="H53" s="18" t="n">
        <v>0</v>
      </c>
      <c r="I53" s="18" t="n">
        <v>0</v>
      </c>
      <c r="J53" s="18" t="n">
        <v>0</v>
      </c>
      <c r="K53" s="18" t="n">
        <v>0</v>
      </c>
      <c r="L53" s="18" t="n">
        <v>0</v>
      </c>
      <c r="M53" s="18" t="n">
        <v>0</v>
      </c>
      <c r="N53" s="18" t="n">
        <v>0</v>
      </c>
    </row>
    <row r="54" customFormat="false" ht="27.75" hidden="false" customHeight="true" outlineLevel="0" collapsed="false">
      <c r="A54" s="12" t="s">
        <v>116</v>
      </c>
      <c r="B54" s="6" t="s">
        <v>119</v>
      </c>
      <c r="C54" s="14" t="n">
        <v>5</v>
      </c>
      <c r="D54" s="18" t="n">
        <v>0</v>
      </c>
      <c r="E54" s="18" t="n">
        <v>0</v>
      </c>
      <c r="F54" s="18" t="n">
        <v>0</v>
      </c>
      <c r="G54" s="16" t="n">
        <v>1</v>
      </c>
      <c r="H54" s="18" t="n">
        <v>0</v>
      </c>
      <c r="I54" s="16" t="n">
        <v>1</v>
      </c>
      <c r="J54" s="18" t="n">
        <v>0</v>
      </c>
      <c r="K54" s="18" t="n">
        <v>0</v>
      </c>
      <c r="L54" s="18" t="n">
        <v>0</v>
      </c>
      <c r="M54" s="18" t="n">
        <v>0</v>
      </c>
      <c r="N54" s="16" t="n">
        <v>1</v>
      </c>
    </row>
    <row r="55" customFormat="false" ht="27.75" hidden="false" customHeight="true" outlineLevel="0" collapsed="false">
      <c r="A55" s="12" t="s">
        <v>120</v>
      </c>
      <c r="B55" s="6" t="s">
        <v>121</v>
      </c>
      <c r="C55" s="14" t="n">
        <v>5</v>
      </c>
      <c r="D55" s="18" t="n">
        <v>0</v>
      </c>
      <c r="E55" s="18" t="n">
        <v>0</v>
      </c>
      <c r="F55" s="18" t="n">
        <v>0</v>
      </c>
      <c r="G55" s="18" t="n">
        <v>0</v>
      </c>
      <c r="H55" s="18" t="n">
        <v>0</v>
      </c>
      <c r="I55" s="18" t="n">
        <v>0</v>
      </c>
      <c r="J55" s="18" t="n">
        <v>0</v>
      </c>
      <c r="K55" s="18" t="n">
        <v>0</v>
      </c>
      <c r="L55" s="18" t="n">
        <v>0</v>
      </c>
      <c r="M55" s="18" t="n">
        <v>0</v>
      </c>
      <c r="N55" s="18" t="n">
        <v>0</v>
      </c>
    </row>
    <row r="56" customFormat="false" ht="27.75" hidden="false" customHeight="true" outlineLevel="0" collapsed="false">
      <c r="A56" s="12" t="s">
        <v>120</v>
      </c>
      <c r="B56" s="6" t="s">
        <v>122</v>
      </c>
      <c r="C56" s="14" t="n">
        <v>5</v>
      </c>
      <c r="D56" s="18" t="n">
        <v>0</v>
      </c>
      <c r="E56" s="18" t="n">
        <v>0</v>
      </c>
      <c r="F56" s="18" t="n">
        <v>0</v>
      </c>
      <c r="G56" s="18" t="n">
        <v>0</v>
      </c>
      <c r="H56" s="18" t="n">
        <v>0</v>
      </c>
      <c r="I56" s="18" t="n">
        <v>0</v>
      </c>
      <c r="J56" s="18" t="n">
        <v>0</v>
      </c>
      <c r="K56" s="18" t="n">
        <v>0</v>
      </c>
      <c r="L56" s="18" t="n">
        <v>0</v>
      </c>
      <c r="M56" s="18" t="n">
        <v>0</v>
      </c>
      <c r="N56" s="18" t="n">
        <v>0</v>
      </c>
    </row>
    <row r="57" customFormat="false" ht="15" hidden="false" customHeight="false" outlineLevel="0" collapsed="false">
      <c r="A57" s="19"/>
      <c r="B57" s="20" t="s">
        <v>123</v>
      </c>
      <c r="C57" s="21" t="n">
        <f aca="false">SUM(C4:C56)</f>
        <v>211</v>
      </c>
      <c r="D57" s="21" t="n">
        <f aca="false">SUM(D4:D56)</f>
        <v>112</v>
      </c>
      <c r="E57" s="21" t="n">
        <f aca="false">SUM(E4:E56)</f>
        <v>116</v>
      </c>
      <c r="F57" s="21" t="n">
        <f aca="false">SUM(F4:F56)</f>
        <v>80</v>
      </c>
      <c r="G57" s="21" t="n">
        <f aca="false">SUM(G4:G56)</f>
        <v>102</v>
      </c>
      <c r="H57" s="21" t="n">
        <f aca="false">SUM(H4:H56)</f>
        <v>102</v>
      </c>
      <c r="I57" s="21" t="n">
        <f aca="false">SUM(I4:I56)</f>
        <v>90</v>
      </c>
      <c r="J57" s="21" t="n">
        <f aca="false">SUM(J4:J56)</f>
        <v>98</v>
      </c>
      <c r="K57" s="21" t="n">
        <f aca="false">SUM(K4:K56)</f>
        <v>109</v>
      </c>
      <c r="L57" s="21" t="n">
        <f aca="false">SUM(L4:L56)</f>
        <v>94</v>
      </c>
      <c r="M57" s="21" t="n">
        <f aca="false">SUM(M4:M56)</f>
        <v>97</v>
      </c>
      <c r="N57" s="21" t="n">
        <f aca="false">SUM(N4:N56)</f>
        <v>57</v>
      </c>
    </row>
    <row r="58" customFormat="false" ht="15" hidden="false" customHeight="false" outlineLevel="0" collapsed="false">
      <c r="B58" s="22" t="s">
        <v>124</v>
      </c>
      <c r="C58" s="23" t="n">
        <v>265</v>
      </c>
      <c r="D58" s="23" t="n">
        <v>265</v>
      </c>
      <c r="E58" s="23" t="n">
        <v>265</v>
      </c>
      <c r="F58" s="23" t="n">
        <v>265</v>
      </c>
      <c r="G58" s="23" t="n">
        <v>265</v>
      </c>
      <c r="H58" s="23" t="n">
        <v>265</v>
      </c>
      <c r="I58" s="23" t="n">
        <v>265</v>
      </c>
      <c r="J58" s="23" t="n">
        <v>265</v>
      </c>
      <c r="K58" s="23" t="n">
        <v>265</v>
      </c>
      <c r="L58" s="23" t="n">
        <v>265</v>
      </c>
      <c r="M58" s="23" t="n">
        <v>265</v>
      </c>
      <c r="N58" s="23" t="n">
        <v>265</v>
      </c>
    </row>
    <row r="59" customFormat="false" ht="15" hidden="false" customHeight="false" outlineLevel="0" collapsed="false">
      <c r="B59" s="24" t="s">
        <v>125</v>
      </c>
      <c r="C59" s="25" t="n">
        <f aca="false">C57/C58</f>
        <v>0.79622641509434</v>
      </c>
      <c r="D59" s="25" t="n">
        <f aca="false">D57/D58</f>
        <v>0.422641509433962</v>
      </c>
      <c r="E59" s="25" t="n">
        <f aca="false">E57/E58</f>
        <v>0.437735849056604</v>
      </c>
      <c r="F59" s="25" t="n">
        <f aca="false">F57/F58</f>
        <v>0.30188679245283</v>
      </c>
      <c r="G59" s="25" t="n">
        <f aca="false">G57/G58</f>
        <v>0.384905660377359</v>
      </c>
      <c r="H59" s="25" t="n">
        <f aca="false">H57/H58</f>
        <v>0.384905660377359</v>
      </c>
      <c r="I59" s="25" t="n">
        <f aca="false">I57/I58</f>
        <v>0.339622641509434</v>
      </c>
      <c r="J59" s="25" t="n">
        <f aca="false">J57/J58</f>
        <v>0.369811320754717</v>
      </c>
      <c r="K59" s="25" t="n">
        <f aca="false">K57/K58</f>
        <v>0.411320754716981</v>
      </c>
      <c r="L59" s="25" t="n">
        <f aca="false">L57/L58</f>
        <v>0.354716981132075</v>
      </c>
      <c r="M59" s="25" t="n">
        <f aca="false">M57/M58</f>
        <v>0.366037735849057</v>
      </c>
      <c r="N59" s="25" t="n">
        <f aca="false">N57/N58</f>
        <v>0.215094339622642</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F37"/>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14" min="3" style="0" width="14"/>
  </cols>
  <sheetData>
    <row r="1" customFormat="false" ht="34.5" hidden="false" customHeight="true" outlineLevel="0" collapsed="false">
      <c r="A1" s="9" t="s">
        <v>126</v>
      </c>
      <c r="B1" s="9"/>
      <c r="C1" s="9"/>
      <c r="D1" s="9"/>
      <c r="E1" s="9"/>
      <c r="F1" s="9"/>
      <c r="G1" s="9"/>
      <c r="H1" s="9"/>
      <c r="I1" s="9"/>
      <c r="J1" s="9"/>
      <c r="K1" s="9"/>
      <c r="L1" s="9"/>
      <c r="M1" s="9"/>
      <c r="N1" s="9"/>
    </row>
    <row r="3" customFormat="false" ht="39.75" hidden="false" customHeight="true" outlineLevel="0" collapsed="false">
      <c r="A3" s="11" t="s">
        <v>45</v>
      </c>
      <c r="B3" s="11" t="s">
        <v>127</v>
      </c>
      <c r="C3" s="11" t="s">
        <v>128</v>
      </c>
      <c r="D3" s="11" t="s">
        <v>48</v>
      </c>
      <c r="E3" s="11" t="s">
        <v>129</v>
      </c>
      <c r="F3" s="11" t="s">
        <v>50</v>
      </c>
      <c r="G3" s="11" t="s">
        <v>130</v>
      </c>
      <c r="H3" s="11" t="s">
        <v>52</v>
      </c>
      <c r="I3" s="11" t="s">
        <v>131</v>
      </c>
      <c r="J3" s="11" t="s">
        <v>54</v>
      </c>
      <c r="K3" s="11" t="s">
        <v>55</v>
      </c>
      <c r="L3" s="11" t="s">
        <v>56</v>
      </c>
      <c r="M3" s="11" t="s">
        <v>132</v>
      </c>
      <c r="N3" s="11" t="s">
        <v>58</v>
      </c>
    </row>
    <row r="4" customFormat="false" ht="15" hidden="false" customHeight="false" outlineLevel="0" collapsed="false">
      <c r="A4" s="26" t="s">
        <v>59</v>
      </c>
      <c r="B4" s="27" t="n">
        <v>7</v>
      </c>
      <c r="C4" s="28" t="n">
        <v>3.4</v>
      </c>
      <c r="D4" s="29" t="n">
        <v>2.4</v>
      </c>
      <c r="E4" s="28" t="n">
        <v>3</v>
      </c>
      <c r="F4" s="29" t="n">
        <v>2.4</v>
      </c>
      <c r="G4" s="29" t="n">
        <v>2</v>
      </c>
      <c r="H4" s="29" t="n">
        <v>2</v>
      </c>
      <c r="I4" s="30" t="n">
        <v>1.1</v>
      </c>
      <c r="J4" s="29" t="n">
        <v>2.9</v>
      </c>
      <c r="K4" s="28" t="n">
        <v>3.3</v>
      </c>
      <c r="L4" s="30" t="n">
        <v>1.9</v>
      </c>
      <c r="M4" s="30" t="n">
        <v>1.7</v>
      </c>
      <c r="N4" s="31" t="n">
        <v>0.4</v>
      </c>
    </row>
    <row r="5" customFormat="false" ht="15" hidden="false" customHeight="false" outlineLevel="0" collapsed="false">
      <c r="A5" s="26" t="s">
        <v>67</v>
      </c>
      <c r="B5" s="27" t="n">
        <v>7</v>
      </c>
      <c r="C5" s="28" t="n">
        <v>3.9</v>
      </c>
      <c r="D5" s="28" t="n">
        <v>3.4</v>
      </c>
      <c r="E5" s="29" t="n">
        <v>2.7</v>
      </c>
      <c r="F5" s="30" t="n">
        <v>1.9</v>
      </c>
      <c r="G5" s="29" t="n">
        <v>2.7</v>
      </c>
      <c r="H5" s="29" t="n">
        <v>2</v>
      </c>
      <c r="I5" s="29" t="n">
        <v>2.6</v>
      </c>
      <c r="J5" s="30" t="n">
        <v>1.9</v>
      </c>
      <c r="K5" s="30" t="n">
        <v>1.9</v>
      </c>
      <c r="L5" s="30" t="n">
        <v>1.9</v>
      </c>
      <c r="M5" s="29" t="n">
        <v>2.7</v>
      </c>
      <c r="N5" s="31" t="n">
        <v>0.7</v>
      </c>
    </row>
    <row r="6" customFormat="false" ht="15" hidden="false" customHeight="false" outlineLevel="0" collapsed="false">
      <c r="A6" s="26" t="s">
        <v>75</v>
      </c>
      <c r="B6" s="27" t="n">
        <v>5</v>
      </c>
      <c r="C6" s="32" t="n">
        <v>4.4</v>
      </c>
      <c r="D6" s="29" t="n">
        <v>2.8</v>
      </c>
      <c r="E6" s="29" t="n">
        <v>2</v>
      </c>
      <c r="F6" s="30" t="n">
        <v>1.8</v>
      </c>
      <c r="G6" s="30" t="n">
        <v>1.8</v>
      </c>
      <c r="H6" s="30" t="n">
        <v>1.8</v>
      </c>
      <c r="I6" s="30" t="n">
        <v>1.8</v>
      </c>
      <c r="J6" s="30" t="n">
        <v>1.8</v>
      </c>
      <c r="K6" s="30" t="n">
        <v>1.8</v>
      </c>
      <c r="L6" s="30" t="n">
        <v>1.8</v>
      </c>
      <c r="M6" s="29" t="n">
        <v>2</v>
      </c>
      <c r="N6" s="30" t="n">
        <v>1.4</v>
      </c>
    </row>
    <row r="7" customFormat="false" ht="15" hidden="false" customHeight="false" outlineLevel="0" collapsed="false">
      <c r="A7" s="26" t="s">
        <v>81</v>
      </c>
      <c r="B7" s="27" t="n">
        <v>6</v>
      </c>
      <c r="C7" s="28" t="n">
        <v>3.8</v>
      </c>
      <c r="D7" s="29" t="n">
        <v>2.5</v>
      </c>
      <c r="E7" s="28" t="n">
        <v>3.2</v>
      </c>
      <c r="F7" s="30" t="n">
        <v>1.5</v>
      </c>
      <c r="G7" s="29" t="n">
        <v>2</v>
      </c>
      <c r="H7" s="29" t="n">
        <v>2.8</v>
      </c>
      <c r="I7" s="29" t="n">
        <v>2</v>
      </c>
      <c r="J7" s="29" t="n">
        <v>2</v>
      </c>
      <c r="K7" s="29" t="n">
        <v>2.8</v>
      </c>
      <c r="L7" s="29" t="n">
        <v>2.5</v>
      </c>
      <c r="M7" s="29" t="n">
        <v>2.8</v>
      </c>
      <c r="N7" s="30" t="n">
        <v>1</v>
      </c>
    </row>
    <row r="8" customFormat="false" ht="15" hidden="false" customHeight="false" outlineLevel="0" collapsed="false">
      <c r="A8" s="26" t="s">
        <v>88</v>
      </c>
      <c r="B8" s="27" t="n">
        <v>6</v>
      </c>
      <c r="C8" s="29" t="n">
        <v>2.7</v>
      </c>
      <c r="D8" s="28" t="n">
        <v>3.3</v>
      </c>
      <c r="E8" s="28" t="n">
        <v>3.7</v>
      </c>
      <c r="F8" s="29" t="n">
        <v>2.2</v>
      </c>
      <c r="G8" s="29" t="n">
        <v>2.5</v>
      </c>
      <c r="H8" s="29" t="n">
        <v>2.3</v>
      </c>
      <c r="I8" s="29" t="n">
        <v>2</v>
      </c>
      <c r="J8" s="28" t="n">
        <v>3</v>
      </c>
      <c r="K8" s="28" t="n">
        <v>3.2</v>
      </c>
      <c r="L8" s="28" t="n">
        <v>3</v>
      </c>
      <c r="M8" s="29" t="n">
        <v>2.7</v>
      </c>
      <c r="N8" s="30" t="n">
        <v>1.7</v>
      </c>
    </row>
    <row r="9" customFormat="false" ht="15" hidden="false" customHeight="false" outlineLevel="0" collapsed="false">
      <c r="A9" s="26" t="s">
        <v>95</v>
      </c>
      <c r="B9" s="27" t="n">
        <v>4</v>
      </c>
      <c r="C9" s="32" t="n">
        <v>4.3</v>
      </c>
      <c r="D9" s="30" t="n">
        <v>1</v>
      </c>
      <c r="E9" s="30" t="n">
        <v>1.5</v>
      </c>
      <c r="F9" s="31" t="n">
        <v>0.5</v>
      </c>
      <c r="G9" s="30" t="n">
        <v>1.5</v>
      </c>
      <c r="H9" s="30" t="n">
        <v>1.8</v>
      </c>
      <c r="I9" s="29" t="n">
        <v>2</v>
      </c>
      <c r="J9" s="29" t="n">
        <v>2</v>
      </c>
      <c r="K9" s="29" t="n">
        <v>2</v>
      </c>
      <c r="L9" s="30" t="n">
        <v>1.5</v>
      </c>
      <c r="M9" s="30" t="n">
        <v>1.5</v>
      </c>
      <c r="N9" s="29" t="n">
        <v>2.8</v>
      </c>
    </row>
    <row r="10" customFormat="false" ht="15" hidden="false" customHeight="false" outlineLevel="0" collapsed="false">
      <c r="A10" s="26" t="s">
        <v>100</v>
      </c>
      <c r="B10" s="27" t="n">
        <v>5</v>
      </c>
      <c r="C10" s="32" t="n">
        <v>4.2</v>
      </c>
      <c r="D10" s="30" t="n">
        <v>1.6</v>
      </c>
      <c r="E10" s="30" t="n">
        <v>1</v>
      </c>
      <c r="F10" s="31" t="n">
        <v>0.4</v>
      </c>
      <c r="G10" s="29" t="n">
        <v>2.8</v>
      </c>
      <c r="H10" s="29" t="n">
        <v>2.2</v>
      </c>
      <c r="I10" s="30" t="n">
        <v>1.8</v>
      </c>
      <c r="J10" s="31" t="n">
        <v>0.4</v>
      </c>
      <c r="K10" s="31" t="n">
        <v>0.6</v>
      </c>
      <c r="L10" s="30" t="n">
        <v>1</v>
      </c>
      <c r="M10" s="30" t="n">
        <v>1.2</v>
      </c>
      <c r="N10" s="30" t="n">
        <v>1.2</v>
      </c>
    </row>
    <row r="11" customFormat="false" ht="15" hidden="false" customHeight="false" outlineLevel="0" collapsed="false">
      <c r="A11" s="26" t="s">
        <v>106</v>
      </c>
      <c r="B11" s="27" t="n">
        <v>4</v>
      </c>
      <c r="C11" s="32" t="n">
        <v>4</v>
      </c>
      <c r="D11" s="31" t="n">
        <v>0.8</v>
      </c>
      <c r="E11" s="30" t="n">
        <v>1.5</v>
      </c>
      <c r="F11" s="30" t="n">
        <v>1.8</v>
      </c>
      <c r="G11" s="31" t="n">
        <v>0.8</v>
      </c>
      <c r="H11" s="30" t="n">
        <v>1</v>
      </c>
      <c r="I11" s="31" t="n">
        <v>0.5</v>
      </c>
      <c r="J11" s="29" t="n">
        <v>2</v>
      </c>
      <c r="K11" s="29" t="n">
        <v>2.3</v>
      </c>
      <c r="L11" s="30" t="n">
        <v>1.3</v>
      </c>
      <c r="M11" s="31" t="n">
        <v>0.8</v>
      </c>
      <c r="N11" s="31" t="n">
        <v>0</v>
      </c>
    </row>
    <row r="12" customFormat="false" ht="15" hidden="false" customHeight="false" outlineLevel="0" collapsed="false">
      <c r="A12" s="26" t="s">
        <v>111</v>
      </c>
      <c r="B12" s="27" t="n">
        <v>4</v>
      </c>
      <c r="C12" s="32" t="n">
        <v>5</v>
      </c>
      <c r="D12" s="29" t="n">
        <v>2</v>
      </c>
      <c r="E12" s="29" t="n">
        <v>2</v>
      </c>
      <c r="F12" s="30" t="n">
        <v>1.5</v>
      </c>
      <c r="G12" s="29" t="n">
        <v>2</v>
      </c>
      <c r="H12" s="30" t="n">
        <v>1.8</v>
      </c>
      <c r="I12" s="29" t="n">
        <v>2</v>
      </c>
      <c r="J12" s="30" t="n">
        <v>1.5</v>
      </c>
      <c r="K12" s="30" t="n">
        <v>1.5</v>
      </c>
      <c r="L12" s="29" t="n">
        <v>2</v>
      </c>
      <c r="M12" s="29" t="n">
        <v>2</v>
      </c>
      <c r="N12" s="30" t="n">
        <v>1.3</v>
      </c>
    </row>
    <row r="13" customFormat="false" ht="15" hidden="false" customHeight="false" outlineLevel="0" collapsed="false">
      <c r="A13" s="26" t="s">
        <v>133</v>
      </c>
      <c r="B13" s="27" t="n">
        <v>3</v>
      </c>
      <c r="C13" s="32" t="n">
        <v>5</v>
      </c>
      <c r="D13" s="31" t="n">
        <v>0</v>
      </c>
      <c r="E13" s="31" t="n">
        <v>0</v>
      </c>
      <c r="F13" s="31" t="n">
        <v>0</v>
      </c>
      <c r="G13" s="31" t="n">
        <v>0.7</v>
      </c>
      <c r="H13" s="31" t="n">
        <v>0</v>
      </c>
      <c r="I13" s="31" t="n">
        <v>0.3</v>
      </c>
      <c r="J13" s="31" t="n">
        <v>0</v>
      </c>
      <c r="K13" s="31" t="n">
        <v>0</v>
      </c>
      <c r="L13" s="31" t="n">
        <v>0</v>
      </c>
      <c r="M13" s="31" t="n">
        <v>0</v>
      </c>
      <c r="N13" s="31" t="n">
        <v>0.7</v>
      </c>
    </row>
    <row r="14" customFormat="false" ht="15" hidden="false" customHeight="false" outlineLevel="0" collapsed="false">
      <c r="A14" s="26" t="s">
        <v>120</v>
      </c>
      <c r="B14" s="27" t="n">
        <v>2</v>
      </c>
      <c r="C14" s="32" t="n">
        <v>5</v>
      </c>
      <c r="D14" s="31" t="n">
        <v>0</v>
      </c>
      <c r="E14" s="31" t="n">
        <v>0</v>
      </c>
      <c r="F14" s="31" t="n">
        <v>0</v>
      </c>
      <c r="G14" s="31" t="n">
        <v>0</v>
      </c>
      <c r="H14" s="31" t="n">
        <v>0</v>
      </c>
      <c r="I14" s="31" t="n">
        <v>0</v>
      </c>
      <c r="J14" s="31" t="n">
        <v>0</v>
      </c>
      <c r="K14" s="31" t="n">
        <v>0</v>
      </c>
      <c r="L14" s="31" t="n">
        <v>0</v>
      </c>
      <c r="M14" s="31" t="n">
        <v>0</v>
      </c>
      <c r="N14" s="31" t="n">
        <v>0</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7D46"/>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6" min="3" style="0" width="28"/>
  </cols>
  <sheetData>
    <row r="1" customFormat="false" ht="34.5" hidden="false" customHeight="true" outlineLevel="0" collapsed="false">
      <c r="A1" s="9" t="s">
        <v>134</v>
      </c>
      <c r="B1" s="9"/>
      <c r="C1" s="9"/>
      <c r="D1" s="9"/>
      <c r="E1" s="9"/>
      <c r="F1" s="9"/>
    </row>
    <row r="3" customFormat="false" ht="15" hidden="false" customHeight="false" outlineLevel="0" collapsed="false">
      <c r="A3" s="33" t="s">
        <v>135</v>
      </c>
      <c r="B3" s="33"/>
      <c r="C3" s="33"/>
    </row>
    <row r="4" customFormat="false" ht="23.85" hidden="false" customHeight="true" outlineLevel="0" collapsed="false">
      <c r="A4" s="34" t="s">
        <v>136</v>
      </c>
      <c r="B4" s="6" t="s">
        <v>137</v>
      </c>
      <c r="C4" s="6" t="s">
        <v>138</v>
      </c>
      <c r="D4" s="6"/>
      <c r="E4" s="6"/>
      <c r="F4" s="6"/>
    </row>
    <row r="5" customFormat="false" ht="23.85" hidden="false" customHeight="true" outlineLevel="0" collapsed="false">
      <c r="A5" s="34" t="s">
        <v>139</v>
      </c>
      <c r="B5" s="6" t="s">
        <v>140</v>
      </c>
      <c r="C5" s="6" t="s">
        <v>141</v>
      </c>
      <c r="D5" s="6"/>
      <c r="E5" s="6"/>
      <c r="F5" s="6"/>
    </row>
    <row r="6" customFormat="false" ht="23.85" hidden="false" customHeight="true" outlineLevel="0" collapsed="false">
      <c r="A6" s="34" t="s">
        <v>142</v>
      </c>
      <c r="B6" s="6" t="s">
        <v>143</v>
      </c>
      <c r="C6" s="6" t="s">
        <v>144</v>
      </c>
      <c r="D6" s="6"/>
      <c r="E6" s="6"/>
      <c r="F6" s="6"/>
    </row>
    <row r="7" customFormat="false" ht="23.85" hidden="false" customHeight="true" outlineLevel="0" collapsed="false">
      <c r="A7" s="34" t="s">
        <v>145</v>
      </c>
      <c r="B7" s="6" t="s">
        <v>146</v>
      </c>
      <c r="C7" s="6" t="s">
        <v>147</v>
      </c>
      <c r="D7" s="6"/>
      <c r="E7" s="6"/>
      <c r="F7" s="6"/>
    </row>
    <row r="8" customFormat="false" ht="23.85" hidden="false" customHeight="true" outlineLevel="0" collapsed="false">
      <c r="A8" s="34" t="s">
        <v>148</v>
      </c>
      <c r="B8" s="6" t="s">
        <v>149</v>
      </c>
      <c r="C8" s="6" t="s">
        <v>150</v>
      </c>
      <c r="D8" s="6"/>
      <c r="E8" s="6"/>
      <c r="F8" s="6"/>
    </row>
    <row r="9" customFormat="false" ht="23.85" hidden="false" customHeight="true" outlineLevel="0" collapsed="false">
      <c r="A9" s="34" t="s">
        <v>151</v>
      </c>
      <c r="B9" s="6" t="s">
        <v>152</v>
      </c>
      <c r="C9" s="6" t="s">
        <v>153</v>
      </c>
      <c r="D9" s="6"/>
      <c r="E9" s="6"/>
      <c r="F9" s="6"/>
    </row>
    <row r="10" customFormat="false" ht="15" hidden="false" customHeight="true" outlineLevel="0" collapsed="false">
      <c r="A10" s="34" t="s">
        <v>154</v>
      </c>
      <c r="B10" s="6" t="s">
        <v>155</v>
      </c>
      <c r="C10" s="6" t="s">
        <v>156</v>
      </c>
      <c r="D10" s="6"/>
      <c r="E10" s="6"/>
      <c r="F10" s="6"/>
    </row>
    <row r="11" customFormat="false" ht="15" hidden="false" customHeight="true" outlineLevel="0" collapsed="false">
      <c r="A11" s="34" t="s">
        <v>157</v>
      </c>
      <c r="B11" s="6" t="s">
        <v>158</v>
      </c>
      <c r="C11" s="6" t="s">
        <v>159</v>
      </c>
      <c r="D11" s="6"/>
      <c r="E11" s="6"/>
      <c r="F11" s="6"/>
    </row>
    <row r="13" customFormat="false" ht="15" hidden="false" customHeight="false" outlineLevel="0" collapsed="false">
      <c r="A13" s="35" t="s">
        <v>160</v>
      </c>
      <c r="B13" s="35"/>
      <c r="C13" s="35"/>
    </row>
    <row r="14" customFormat="false" ht="23.85" hidden="false" customHeight="true" outlineLevel="0" collapsed="false">
      <c r="A14" s="36" t="s">
        <v>161</v>
      </c>
      <c r="B14" s="6" t="s">
        <v>162</v>
      </c>
      <c r="C14" s="6" t="s">
        <v>163</v>
      </c>
      <c r="D14" s="6"/>
      <c r="E14" s="6"/>
      <c r="F14" s="6"/>
    </row>
    <row r="15" customFormat="false" ht="23.85" hidden="false" customHeight="true" outlineLevel="0" collapsed="false">
      <c r="A15" s="36" t="s">
        <v>164</v>
      </c>
      <c r="B15" s="6" t="s">
        <v>165</v>
      </c>
      <c r="C15" s="6" t="s">
        <v>166</v>
      </c>
      <c r="D15" s="6"/>
      <c r="E15" s="6"/>
      <c r="F15" s="6"/>
    </row>
    <row r="16" customFormat="false" ht="23.85" hidden="false" customHeight="true" outlineLevel="0" collapsed="false">
      <c r="A16" s="36" t="s">
        <v>167</v>
      </c>
      <c r="B16" s="6" t="s">
        <v>168</v>
      </c>
      <c r="C16" s="6" t="s">
        <v>169</v>
      </c>
      <c r="D16" s="6"/>
      <c r="E16" s="6"/>
      <c r="F16" s="6"/>
    </row>
    <row r="17" customFormat="false" ht="23.85" hidden="false" customHeight="true" outlineLevel="0" collapsed="false">
      <c r="A17" s="36" t="s">
        <v>170</v>
      </c>
      <c r="B17" s="6" t="s">
        <v>171</v>
      </c>
      <c r="C17" s="6" t="s">
        <v>172</v>
      </c>
      <c r="D17" s="6"/>
      <c r="E17" s="6"/>
      <c r="F17" s="6"/>
    </row>
    <row r="18" customFormat="false" ht="23.85" hidden="false" customHeight="true" outlineLevel="0" collapsed="false">
      <c r="A18" s="36" t="s">
        <v>173</v>
      </c>
      <c r="B18" s="6" t="s">
        <v>174</v>
      </c>
      <c r="C18" s="6" t="s">
        <v>175</v>
      </c>
      <c r="D18" s="6"/>
      <c r="E18" s="6"/>
      <c r="F18" s="6"/>
    </row>
    <row r="19" customFormat="false" ht="23.85" hidden="false" customHeight="true" outlineLevel="0" collapsed="false">
      <c r="A19" s="36" t="s">
        <v>176</v>
      </c>
      <c r="B19" s="6" t="s">
        <v>177</v>
      </c>
      <c r="C19" s="6" t="s">
        <v>178</v>
      </c>
      <c r="D19" s="6"/>
      <c r="E19" s="6"/>
      <c r="F19" s="6"/>
    </row>
    <row r="20" customFormat="false" ht="23.85" hidden="false" customHeight="true" outlineLevel="0" collapsed="false">
      <c r="A20" s="36" t="s">
        <v>179</v>
      </c>
      <c r="B20" s="6" t="s">
        <v>180</v>
      </c>
      <c r="C20" s="6" t="s">
        <v>181</v>
      </c>
      <c r="D20" s="6"/>
      <c r="E20" s="6"/>
      <c r="F20" s="6"/>
    </row>
    <row r="21" customFormat="false" ht="23.85" hidden="false" customHeight="true" outlineLevel="0" collapsed="false">
      <c r="A21" s="36" t="s">
        <v>182</v>
      </c>
      <c r="B21" s="6" t="s">
        <v>183</v>
      </c>
      <c r="C21" s="6" t="s">
        <v>184</v>
      </c>
      <c r="D21" s="6"/>
      <c r="E21" s="6"/>
      <c r="F21" s="6"/>
    </row>
    <row r="23" customFormat="false" ht="15" hidden="false" customHeight="false" outlineLevel="0" collapsed="false">
      <c r="A23" s="37" t="s">
        <v>185</v>
      </c>
      <c r="B23" s="37"/>
      <c r="C23" s="37"/>
    </row>
    <row r="24" customFormat="false" ht="23.85" hidden="false" customHeight="true" outlineLevel="0" collapsed="false">
      <c r="A24" s="8" t="s">
        <v>186</v>
      </c>
      <c r="B24" s="6" t="s">
        <v>187</v>
      </c>
      <c r="C24" s="6" t="s">
        <v>188</v>
      </c>
      <c r="D24" s="6"/>
      <c r="E24" s="6"/>
      <c r="F24" s="6"/>
    </row>
    <row r="25" customFormat="false" ht="23.85" hidden="false" customHeight="true" outlineLevel="0" collapsed="false">
      <c r="A25" s="8" t="s">
        <v>189</v>
      </c>
      <c r="B25" s="6" t="s">
        <v>190</v>
      </c>
      <c r="C25" s="6" t="s">
        <v>191</v>
      </c>
      <c r="D25" s="6"/>
      <c r="E25" s="6"/>
      <c r="F25" s="6"/>
    </row>
    <row r="26" customFormat="false" ht="15" hidden="false" customHeight="true" outlineLevel="0" collapsed="false">
      <c r="A26" s="8" t="s">
        <v>192</v>
      </c>
      <c r="B26" s="6" t="s">
        <v>193</v>
      </c>
      <c r="C26" s="6" t="s">
        <v>194</v>
      </c>
      <c r="D26" s="6"/>
      <c r="E26" s="6"/>
      <c r="F26" s="6"/>
    </row>
    <row r="27" customFormat="false" ht="23.85" hidden="false" customHeight="true" outlineLevel="0" collapsed="false">
      <c r="A27" s="8" t="s">
        <v>195</v>
      </c>
      <c r="B27" s="6" t="s">
        <v>196</v>
      </c>
      <c r="C27" s="6" t="s">
        <v>197</v>
      </c>
      <c r="D27" s="6"/>
      <c r="E27" s="6"/>
      <c r="F27" s="6"/>
    </row>
    <row r="28" customFormat="false" ht="23.85" hidden="false" customHeight="true" outlineLevel="0" collapsed="false">
      <c r="A28" s="8" t="s">
        <v>198</v>
      </c>
      <c r="B28" s="6" t="s">
        <v>199</v>
      </c>
      <c r="C28" s="6" t="s">
        <v>200</v>
      </c>
      <c r="D28" s="6"/>
      <c r="E28" s="6"/>
      <c r="F28" s="6"/>
    </row>
    <row r="29" customFormat="false" ht="15" hidden="false" customHeight="true" outlineLevel="0" collapsed="false">
      <c r="A29" s="8" t="s">
        <v>201</v>
      </c>
      <c r="B29" s="6" t="s">
        <v>202</v>
      </c>
      <c r="C29" s="6" t="s">
        <v>203</v>
      </c>
      <c r="D29" s="6"/>
      <c r="E29" s="6"/>
      <c r="F29" s="6"/>
    </row>
    <row r="30" customFormat="false" ht="23.85" hidden="false" customHeight="true" outlineLevel="0" collapsed="false">
      <c r="A30" s="8" t="s">
        <v>204</v>
      </c>
      <c r="B30" s="6" t="s">
        <v>205</v>
      </c>
      <c r="C30" s="6" t="s">
        <v>206</v>
      </c>
      <c r="D30" s="6"/>
      <c r="E30" s="6"/>
      <c r="F30" s="6"/>
    </row>
    <row r="31" customFormat="false" ht="15" hidden="false" customHeight="true" outlineLevel="0" collapsed="false">
      <c r="A31" s="8" t="s">
        <v>207</v>
      </c>
      <c r="B31" s="6" t="s">
        <v>208</v>
      </c>
      <c r="C31" s="6" t="s">
        <v>209</v>
      </c>
      <c r="D31" s="6"/>
      <c r="E31" s="6"/>
      <c r="F31" s="6"/>
    </row>
    <row r="32" customFormat="false" ht="15" hidden="false" customHeight="false" outlineLevel="0" collapsed="false">
      <c r="A32" s="38" t="s">
        <v>210</v>
      </c>
      <c r="B32" s="38"/>
      <c r="C32" s="38"/>
    </row>
    <row r="33" customFormat="false" ht="23.85" hidden="false" customHeight="true" outlineLevel="0" collapsed="false">
      <c r="A33" s="39" t="s">
        <v>211</v>
      </c>
      <c r="B33" s="6" t="s">
        <v>212</v>
      </c>
      <c r="C33" s="6" t="s">
        <v>213</v>
      </c>
      <c r="D33" s="6"/>
      <c r="E33" s="6"/>
      <c r="F33" s="6"/>
    </row>
    <row r="34" customFormat="false" ht="23.85" hidden="false" customHeight="true" outlineLevel="0" collapsed="false">
      <c r="A34" s="39" t="s">
        <v>214</v>
      </c>
      <c r="B34" s="6" t="s">
        <v>215</v>
      </c>
      <c r="C34" s="6" t="s">
        <v>216</v>
      </c>
      <c r="D34" s="6"/>
      <c r="E34" s="6"/>
      <c r="F34" s="6"/>
    </row>
    <row r="35" customFormat="false" ht="23.85" hidden="false" customHeight="true" outlineLevel="0" collapsed="false">
      <c r="A35" s="39" t="s">
        <v>217</v>
      </c>
      <c r="B35" s="6" t="s">
        <v>218</v>
      </c>
      <c r="C35" s="6" t="s">
        <v>219</v>
      </c>
      <c r="D35" s="6"/>
      <c r="E35" s="6"/>
      <c r="F35" s="6"/>
    </row>
    <row r="36" customFormat="false" ht="23.85" hidden="false" customHeight="true" outlineLevel="0" collapsed="false">
      <c r="A36" s="39" t="s">
        <v>220</v>
      </c>
      <c r="B36" s="6" t="s">
        <v>221</v>
      </c>
      <c r="C36" s="6" t="s">
        <v>222</v>
      </c>
      <c r="D36" s="6"/>
      <c r="E36" s="6"/>
      <c r="F36" s="6"/>
    </row>
    <row r="37" customFormat="false" ht="23.85" hidden="false" customHeight="true" outlineLevel="0" collapsed="false">
      <c r="A37" s="39" t="s">
        <v>223</v>
      </c>
      <c r="B37" s="6" t="s">
        <v>224</v>
      </c>
      <c r="C37" s="6" t="s">
        <v>225</v>
      </c>
      <c r="D37" s="6"/>
      <c r="E37" s="6"/>
      <c r="F37" s="6"/>
    </row>
    <row r="38" customFormat="false" ht="15" hidden="false" customHeight="true" outlineLevel="0" collapsed="false">
      <c r="A38" s="39" t="s">
        <v>226</v>
      </c>
      <c r="B38" s="6" t="s">
        <v>227</v>
      </c>
      <c r="C38" s="6" t="s">
        <v>228</v>
      </c>
      <c r="D38" s="6"/>
      <c r="E38" s="6"/>
      <c r="F38" s="6"/>
    </row>
  </sheetData>
  <mergeCells count="35">
    <mergeCell ref="A1:F1"/>
    <mergeCell ref="A3:C3"/>
    <mergeCell ref="C4:F4"/>
    <mergeCell ref="C5:F5"/>
    <mergeCell ref="C6:F6"/>
    <mergeCell ref="C7:F7"/>
    <mergeCell ref="C8:F8"/>
    <mergeCell ref="C9:F9"/>
    <mergeCell ref="C10:F10"/>
    <mergeCell ref="C11:F11"/>
    <mergeCell ref="A13:C13"/>
    <mergeCell ref="C14:F14"/>
    <mergeCell ref="C15:F15"/>
    <mergeCell ref="C16:F16"/>
    <mergeCell ref="C17:F17"/>
    <mergeCell ref="C18:F18"/>
    <mergeCell ref="C19:F19"/>
    <mergeCell ref="C20:F20"/>
    <mergeCell ref="C21:F21"/>
    <mergeCell ref="A23:C23"/>
    <mergeCell ref="C24:F24"/>
    <mergeCell ref="C25:F25"/>
    <mergeCell ref="C26:F26"/>
    <mergeCell ref="C27:F27"/>
    <mergeCell ref="C28:F28"/>
    <mergeCell ref="C29:F29"/>
    <mergeCell ref="C30:F30"/>
    <mergeCell ref="C31:F31"/>
    <mergeCell ref="A32:C32"/>
    <mergeCell ref="C33:F33"/>
    <mergeCell ref="C34:F34"/>
    <mergeCell ref="C35:F35"/>
    <mergeCell ref="C36:F36"/>
    <mergeCell ref="C37:F37"/>
    <mergeCell ref="C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F37"/>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30"/>
    <col collapsed="false" customWidth="true" hidden="false" outlineLevel="0" max="5" min="5" style="0" width="42"/>
    <col collapsed="false" customWidth="true" hidden="false" outlineLevel="0" max="6" min="6" style="0" width="16"/>
    <col collapsed="false" customWidth="true" hidden="false" outlineLevel="0" max="7" min="7" style="0" width="18"/>
    <col collapsed="false" customWidth="true" hidden="false" outlineLevel="0" max="8" min="8" style="0" width="16"/>
  </cols>
  <sheetData>
    <row r="1" customFormat="false" ht="34.5" hidden="false" customHeight="true" outlineLevel="0" collapsed="false">
      <c r="A1" s="9" t="s">
        <v>229</v>
      </c>
      <c r="B1" s="9"/>
      <c r="C1" s="9"/>
      <c r="D1" s="9"/>
      <c r="E1" s="9"/>
      <c r="F1" s="9"/>
      <c r="G1" s="9"/>
      <c r="H1" s="9"/>
    </row>
    <row r="3" customFormat="false" ht="39.75" hidden="false" customHeight="true" outlineLevel="0" collapsed="false">
      <c r="A3" s="11" t="s">
        <v>230</v>
      </c>
      <c r="B3" s="11" t="s">
        <v>231</v>
      </c>
      <c r="C3" s="11" t="s">
        <v>232</v>
      </c>
      <c r="D3" s="11" t="s">
        <v>233</v>
      </c>
      <c r="E3" s="11" t="s">
        <v>234</v>
      </c>
      <c r="F3" s="11" t="s">
        <v>235</v>
      </c>
      <c r="G3" s="11" t="s">
        <v>236</v>
      </c>
      <c r="H3" s="11" t="s">
        <v>237</v>
      </c>
    </row>
    <row r="4" customFormat="false" ht="120" hidden="false" customHeight="true" outlineLevel="0" collapsed="false">
      <c r="A4" s="40" t="s">
        <v>238</v>
      </c>
      <c r="B4" s="26" t="s">
        <v>239</v>
      </c>
      <c r="C4" s="6" t="s">
        <v>240</v>
      </c>
      <c r="D4" s="6" t="s">
        <v>241</v>
      </c>
      <c r="E4" s="6" t="s">
        <v>242</v>
      </c>
      <c r="F4" s="6" t="s">
        <v>243</v>
      </c>
      <c r="G4" s="6" t="s">
        <v>244</v>
      </c>
      <c r="H4" s="6" t="s">
        <v>245</v>
      </c>
    </row>
    <row r="5" customFormat="false" ht="120" hidden="false" customHeight="true" outlineLevel="0" collapsed="false">
      <c r="A5" s="40" t="s">
        <v>238</v>
      </c>
      <c r="B5" s="26" t="s">
        <v>246</v>
      </c>
      <c r="C5" s="6" t="s">
        <v>247</v>
      </c>
      <c r="D5" s="6" t="s">
        <v>248</v>
      </c>
      <c r="E5" s="6" t="s">
        <v>249</v>
      </c>
      <c r="F5" s="6" t="s">
        <v>250</v>
      </c>
      <c r="G5" s="6" t="s">
        <v>251</v>
      </c>
      <c r="H5" s="6" t="s">
        <v>252</v>
      </c>
    </row>
    <row r="6" customFormat="false" ht="120" hidden="false" customHeight="true" outlineLevel="0" collapsed="false">
      <c r="A6" s="41" t="s">
        <v>253</v>
      </c>
      <c r="B6" s="26" t="s">
        <v>254</v>
      </c>
      <c r="C6" s="6" t="s">
        <v>255</v>
      </c>
      <c r="D6" s="6" t="s">
        <v>256</v>
      </c>
      <c r="E6" s="6" t="s">
        <v>257</v>
      </c>
      <c r="F6" s="6" t="s">
        <v>258</v>
      </c>
      <c r="G6" s="6" t="s">
        <v>259</v>
      </c>
      <c r="H6" s="6" t="s">
        <v>260</v>
      </c>
    </row>
    <row r="7" customFormat="false" ht="120" hidden="false" customHeight="true" outlineLevel="0" collapsed="false">
      <c r="A7" s="41" t="s">
        <v>253</v>
      </c>
      <c r="B7" s="26" t="s">
        <v>261</v>
      </c>
      <c r="C7" s="6" t="s">
        <v>262</v>
      </c>
      <c r="D7" s="6" t="s">
        <v>263</v>
      </c>
      <c r="E7" s="6" t="s">
        <v>264</v>
      </c>
      <c r="F7" s="6" t="s">
        <v>265</v>
      </c>
      <c r="G7" s="6" t="s">
        <v>266</v>
      </c>
      <c r="H7" s="6" t="s">
        <v>267</v>
      </c>
    </row>
    <row r="8" customFormat="false" ht="120" hidden="false" customHeight="true" outlineLevel="0" collapsed="false">
      <c r="A8" s="41" t="s">
        <v>253</v>
      </c>
      <c r="B8" s="26" t="s">
        <v>177</v>
      </c>
      <c r="C8" s="6" t="s">
        <v>268</v>
      </c>
      <c r="D8" s="6" t="s">
        <v>269</v>
      </c>
      <c r="E8" s="6" t="s">
        <v>270</v>
      </c>
      <c r="F8" s="6" t="s">
        <v>271</v>
      </c>
      <c r="G8" s="6" t="s">
        <v>266</v>
      </c>
      <c r="H8" s="6" t="s">
        <v>272</v>
      </c>
    </row>
    <row r="9" customFormat="false" ht="120" hidden="false" customHeight="true" outlineLevel="0" collapsed="false">
      <c r="A9" s="42" t="s">
        <v>273</v>
      </c>
      <c r="B9" s="26" t="s">
        <v>274</v>
      </c>
      <c r="C9" s="6" t="s">
        <v>275</v>
      </c>
      <c r="D9" s="6" t="s">
        <v>276</v>
      </c>
      <c r="E9" s="6" t="s">
        <v>277</v>
      </c>
      <c r="F9" s="6" t="s">
        <v>271</v>
      </c>
      <c r="G9" s="6" t="s">
        <v>278</v>
      </c>
      <c r="H9" s="6" t="s">
        <v>279</v>
      </c>
    </row>
    <row r="10" customFormat="false" ht="120" hidden="false" customHeight="true" outlineLevel="0" collapsed="false">
      <c r="A10" s="42" t="s">
        <v>273</v>
      </c>
      <c r="B10" s="26" t="s">
        <v>280</v>
      </c>
      <c r="C10" s="6" t="s">
        <v>281</v>
      </c>
      <c r="D10" s="6" t="s">
        <v>282</v>
      </c>
      <c r="E10" s="6" t="s">
        <v>283</v>
      </c>
      <c r="F10" s="6" t="s">
        <v>284</v>
      </c>
      <c r="G10" s="6" t="s">
        <v>278</v>
      </c>
      <c r="H10" s="6" t="s">
        <v>267</v>
      </c>
    </row>
    <row r="11" customFormat="false" ht="120" hidden="false" customHeight="true" outlineLevel="0" collapsed="false">
      <c r="A11" s="42" t="s">
        <v>273</v>
      </c>
      <c r="B11" s="26" t="s">
        <v>285</v>
      </c>
      <c r="C11" s="6" t="s">
        <v>286</v>
      </c>
      <c r="D11" s="6" t="s">
        <v>287</v>
      </c>
      <c r="E11" s="6" t="s">
        <v>288</v>
      </c>
      <c r="F11" s="6" t="s">
        <v>258</v>
      </c>
      <c r="G11" s="6" t="s">
        <v>266</v>
      </c>
      <c r="H11" s="6" t="s">
        <v>289</v>
      </c>
    </row>
    <row r="12" customFormat="false" ht="120" hidden="false" customHeight="true" outlineLevel="0" collapsed="false">
      <c r="A12" s="43" t="s">
        <v>290</v>
      </c>
      <c r="B12" s="26" t="s">
        <v>291</v>
      </c>
      <c r="C12" s="6" t="s">
        <v>292</v>
      </c>
      <c r="D12" s="6" t="s">
        <v>293</v>
      </c>
      <c r="E12" s="6" t="s">
        <v>294</v>
      </c>
      <c r="F12" s="6" t="s">
        <v>295</v>
      </c>
      <c r="G12" s="6" t="s">
        <v>278</v>
      </c>
      <c r="H12" s="6" t="s">
        <v>296</v>
      </c>
    </row>
    <row r="13" customFormat="false" ht="120" hidden="false" customHeight="true" outlineLevel="0" collapsed="false">
      <c r="A13" s="43" t="s">
        <v>290</v>
      </c>
      <c r="B13" s="26" t="s">
        <v>297</v>
      </c>
      <c r="C13" s="6" t="s">
        <v>298</v>
      </c>
      <c r="D13" s="6" t="s">
        <v>299</v>
      </c>
      <c r="E13" s="6" t="s">
        <v>300</v>
      </c>
      <c r="F13" s="6" t="s">
        <v>295</v>
      </c>
      <c r="G13" s="6" t="s">
        <v>278</v>
      </c>
      <c r="H13" s="6" t="s">
        <v>301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9795"/>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7" min="2" style="0" width="18"/>
  </cols>
  <sheetData>
    <row r="1" customFormat="false" ht="34.5" hidden="false" customHeight="true" outlineLevel="0" collapsed="false">
      <c r="A1" s="9" t="s">
        <v>302</v>
      </c>
      <c r="B1" s="9"/>
      <c r="C1" s="9"/>
      <c r="D1" s="9"/>
      <c r="E1" s="9"/>
      <c r="F1" s="9"/>
      <c r="G1" s="9"/>
    </row>
    <row r="3" customFormat="false" ht="26.85" hidden="false" customHeight="false" outlineLevel="0" collapsed="false">
      <c r="A3" s="11" t="s">
        <v>303</v>
      </c>
      <c r="B3" s="11" t="s">
        <v>304</v>
      </c>
      <c r="C3" s="11" t="s">
        <v>305</v>
      </c>
      <c r="D3" s="11" t="s">
        <v>306</v>
      </c>
      <c r="E3" s="11" t="s">
        <v>307</v>
      </c>
      <c r="F3" s="11" t="s">
        <v>308</v>
      </c>
      <c r="G3" s="11" t="s">
        <v>309</v>
      </c>
    </row>
    <row r="4" customFormat="false" ht="15" hidden="false" customHeight="false" outlineLevel="0" collapsed="false">
      <c r="A4" s="44" t="s">
        <v>310</v>
      </c>
      <c r="B4" s="45" t="s">
        <v>311</v>
      </c>
      <c r="C4" s="45" t="s">
        <v>312</v>
      </c>
      <c r="D4" s="46" t="s">
        <v>313</v>
      </c>
      <c r="E4" s="45" t="s">
        <v>311</v>
      </c>
      <c r="F4" s="45" t="s">
        <v>314</v>
      </c>
      <c r="G4" s="45" t="s">
        <v>315</v>
      </c>
    </row>
    <row r="5" customFormat="false" ht="15" hidden="false" customHeight="false" outlineLevel="0" collapsed="false">
      <c r="A5" s="26" t="s">
        <v>48</v>
      </c>
      <c r="B5" s="47" t="s">
        <v>316</v>
      </c>
      <c r="C5" s="48" t="s">
        <v>317</v>
      </c>
      <c r="D5" s="27" t="s">
        <v>318</v>
      </c>
      <c r="E5" s="27" t="s">
        <v>311</v>
      </c>
      <c r="F5" s="27" t="s">
        <v>319</v>
      </c>
      <c r="G5" s="27" t="s">
        <v>320</v>
      </c>
    </row>
    <row r="6" customFormat="false" ht="15" hidden="false" customHeight="false" outlineLevel="0" collapsed="false">
      <c r="A6" s="26" t="s">
        <v>49</v>
      </c>
      <c r="B6" s="47" t="s">
        <v>316</v>
      </c>
      <c r="C6" s="48" t="s">
        <v>317</v>
      </c>
      <c r="D6" s="47" t="s">
        <v>316</v>
      </c>
      <c r="E6" s="27" t="s">
        <v>318</v>
      </c>
      <c r="F6" s="27" t="s">
        <v>319</v>
      </c>
      <c r="G6" s="27" t="s">
        <v>321</v>
      </c>
    </row>
    <row r="7" customFormat="false" ht="23.85" hidden="false" customHeight="false" outlineLevel="0" collapsed="false">
      <c r="A7" s="26" t="s">
        <v>50</v>
      </c>
      <c r="B7" s="27" t="s">
        <v>322</v>
      </c>
      <c r="C7" s="48" t="s">
        <v>317</v>
      </c>
      <c r="D7" s="27" t="s">
        <v>318</v>
      </c>
      <c r="E7" s="27" t="s">
        <v>323</v>
      </c>
      <c r="F7" s="27" t="s">
        <v>319</v>
      </c>
      <c r="G7" s="27" t="s">
        <v>324</v>
      </c>
    </row>
    <row r="8" customFormat="false" ht="15" hidden="false" customHeight="false" outlineLevel="0" collapsed="false">
      <c r="A8" s="26" t="s">
        <v>51</v>
      </c>
      <c r="B8" s="27" t="s">
        <v>311</v>
      </c>
      <c r="C8" s="49" t="s">
        <v>325</v>
      </c>
      <c r="D8" s="27" t="s">
        <v>326</v>
      </c>
      <c r="E8" s="27" t="s">
        <v>326</v>
      </c>
      <c r="F8" s="27" t="s">
        <v>327</v>
      </c>
      <c r="G8" s="27" t="s">
        <v>328</v>
      </c>
    </row>
    <row r="9" customFormat="false" ht="15" hidden="false" customHeight="false" outlineLevel="0" collapsed="false">
      <c r="A9" s="26" t="s">
        <v>52</v>
      </c>
      <c r="B9" s="27" t="s">
        <v>311</v>
      </c>
      <c r="C9" s="48" t="s">
        <v>317</v>
      </c>
      <c r="D9" s="27" t="s">
        <v>326</v>
      </c>
      <c r="E9" s="27" t="s">
        <v>326</v>
      </c>
      <c r="F9" s="27" t="s">
        <v>319</v>
      </c>
      <c r="G9" s="27" t="s">
        <v>329</v>
      </c>
    </row>
    <row r="10" customFormat="false" ht="15" hidden="false" customHeight="false" outlineLevel="0" collapsed="false">
      <c r="A10" s="26" t="s">
        <v>53</v>
      </c>
      <c r="B10" s="27" t="s">
        <v>326</v>
      </c>
      <c r="C10" s="48" t="s">
        <v>317</v>
      </c>
      <c r="D10" s="49" t="s">
        <v>313</v>
      </c>
      <c r="E10" s="48" t="s">
        <v>330</v>
      </c>
      <c r="F10" s="27" t="s">
        <v>319</v>
      </c>
      <c r="G10" s="27" t="s">
        <v>331</v>
      </c>
    </row>
    <row r="11" customFormat="false" ht="23.85" hidden="false" customHeight="false" outlineLevel="0" collapsed="false">
      <c r="A11" s="26" t="s">
        <v>54</v>
      </c>
      <c r="B11" s="27" t="s">
        <v>311</v>
      </c>
      <c r="C11" s="48" t="s">
        <v>317</v>
      </c>
      <c r="D11" s="27" t="s">
        <v>318</v>
      </c>
      <c r="E11" s="27" t="s">
        <v>318</v>
      </c>
      <c r="F11" s="27" t="s">
        <v>332</v>
      </c>
      <c r="G11" s="27" t="s">
        <v>333</v>
      </c>
    </row>
    <row r="12" customFormat="false" ht="15" hidden="false" customHeight="false" outlineLevel="0" collapsed="false">
      <c r="A12" s="26" t="s">
        <v>55</v>
      </c>
      <c r="B12" s="27" t="s">
        <v>311</v>
      </c>
      <c r="C12" s="48" t="s">
        <v>317</v>
      </c>
      <c r="D12" s="27" t="s">
        <v>318</v>
      </c>
      <c r="E12" s="47" t="s">
        <v>316</v>
      </c>
      <c r="F12" s="27" t="s">
        <v>332</v>
      </c>
      <c r="G12" s="27" t="s">
        <v>334</v>
      </c>
    </row>
    <row r="13" customFormat="false" ht="15" hidden="false" customHeight="false" outlineLevel="0" collapsed="false">
      <c r="A13" s="26" t="s">
        <v>335</v>
      </c>
      <c r="B13" s="27" t="s">
        <v>326</v>
      </c>
      <c r="C13" s="27" t="s">
        <v>336</v>
      </c>
      <c r="D13" s="27" t="s">
        <v>318</v>
      </c>
      <c r="E13" s="27" t="s">
        <v>326</v>
      </c>
      <c r="F13" s="27" t="s">
        <v>337</v>
      </c>
      <c r="G13" s="27" t="s">
        <v>338</v>
      </c>
    </row>
    <row r="14" customFormat="false" ht="15" hidden="false" customHeight="false" outlineLevel="0" collapsed="false">
      <c r="A14" s="26" t="s">
        <v>339</v>
      </c>
      <c r="B14" s="27" t="s">
        <v>326</v>
      </c>
      <c r="C14" s="49" t="s">
        <v>325</v>
      </c>
      <c r="D14" s="27" t="s">
        <v>326</v>
      </c>
      <c r="E14" s="48" t="s">
        <v>330</v>
      </c>
      <c r="F14" s="27" t="s">
        <v>319</v>
      </c>
      <c r="G14" s="27" t="s">
        <v>340</v>
      </c>
    </row>
    <row r="15" customFormat="false" ht="15" hidden="false" customHeight="false" outlineLevel="0" collapsed="false">
      <c r="A15" s="26" t="s">
        <v>58</v>
      </c>
      <c r="B15" s="27" t="s">
        <v>322</v>
      </c>
      <c r="C15" s="27" t="s">
        <v>336</v>
      </c>
      <c r="D15" s="27" t="s">
        <v>326</v>
      </c>
      <c r="E15" s="48" t="s">
        <v>317</v>
      </c>
      <c r="F15" s="27" t="s">
        <v>341</v>
      </c>
      <c r="G15" s="27" t="s">
        <v>342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F37"/>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4" min="2" style="0" width="22"/>
    <col collapsed="false" customWidth="true" hidden="false" outlineLevel="0" max="5" min="5" style="0" width="18"/>
    <col collapsed="false" customWidth="true" hidden="false" outlineLevel="0" max="6" min="6" style="0" width="40"/>
  </cols>
  <sheetData>
    <row r="1" customFormat="false" ht="34.5" hidden="false" customHeight="true" outlineLevel="0" collapsed="false">
      <c r="A1" s="9" t="s">
        <v>343</v>
      </c>
      <c r="B1" s="9"/>
      <c r="C1" s="9"/>
      <c r="D1" s="9"/>
      <c r="E1" s="9"/>
      <c r="F1" s="9"/>
    </row>
    <row r="3" customFormat="false" ht="15" hidden="false" customHeight="false" outlineLevel="0" collapsed="false">
      <c r="A3" s="11" t="s">
        <v>303</v>
      </c>
      <c r="B3" s="11" t="s">
        <v>344</v>
      </c>
      <c r="C3" s="11" t="s">
        <v>345</v>
      </c>
      <c r="D3" s="11" t="s">
        <v>346</v>
      </c>
      <c r="E3" s="11" t="s">
        <v>347</v>
      </c>
      <c r="F3" s="11" t="s">
        <v>348</v>
      </c>
    </row>
    <row r="4" customFormat="false" ht="49.5" hidden="false" customHeight="true" outlineLevel="0" collapsed="false">
      <c r="A4" s="44" t="s">
        <v>349</v>
      </c>
      <c r="B4" s="45" t="s">
        <v>350</v>
      </c>
      <c r="C4" s="45" t="s">
        <v>351</v>
      </c>
      <c r="D4" s="45" t="s">
        <v>352</v>
      </c>
      <c r="E4" s="45" t="s">
        <v>353</v>
      </c>
      <c r="F4" s="44" t="s">
        <v>354</v>
      </c>
    </row>
    <row r="5" customFormat="false" ht="49.5" hidden="false" customHeight="true" outlineLevel="0" collapsed="false">
      <c r="A5" s="26" t="s">
        <v>48</v>
      </c>
      <c r="B5" s="27" t="s">
        <v>355</v>
      </c>
      <c r="C5" s="27" t="s">
        <v>356</v>
      </c>
      <c r="D5" s="48" t="s">
        <v>357</v>
      </c>
      <c r="E5" s="48" t="s">
        <v>357</v>
      </c>
      <c r="F5" s="6" t="s">
        <v>358</v>
      </c>
    </row>
    <row r="6" customFormat="false" ht="49.5" hidden="false" customHeight="true" outlineLevel="0" collapsed="false">
      <c r="A6" s="26" t="s">
        <v>49</v>
      </c>
      <c r="B6" s="27" t="s">
        <v>355</v>
      </c>
      <c r="C6" s="27" t="s">
        <v>359</v>
      </c>
      <c r="D6" s="48" t="s">
        <v>357</v>
      </c>
      <c r="E6" s="48" t="s">
        <v>357</v>
      </c>
      <c r="F6" s="6" t="s">
        <v>360</v>
      </c>
    </row>
    <row r="7" customFormat="false" ht="49.5" hidden="false" customHeight="true" outlineLevel="0" collapsed="false">
      <c r="A7" s="26" t="s">
        <v>50</v>
      </c>
      <c r="B7" s="27" t="s">
        <v>355</v>
      </c>
      <c r="C7" s="27" t="s">
        <v>361</v>
      </c>
      <c r="D7" s="48" t="s">
        <v>357</v>
      </c>
      <c r="E7" s="48" t="s">
        <v>357</v>
      </c>
      <c r="F7" s="6" t="s">
        <v>362</v>
      </c>
    </row>
    <row r="8" customFormat="false" ht="49.5" hidden="false" customHeight="true" outlineLevel="0" collapsed="false">
      <c r="A8" s="26" t="s">
        <v>51</v>
      </c>
      <c r="B8" s="27" t="s">
        <v>327</v>
      </c>
      <c r="C8" s="27" t="s">
        <v>363</v>
      </c>
      <c r="D8" s="27" t="s">
        <v>364</v>
      </c>
      <c r="E8" s="48" t="s">
        <v>357</v>
      </c>
      <c r="F8" s="6" t="s">
        <v>365</v>
      </c>
    </row>
    <row r="9" customFormat="false" ht="49.5" hidden="false" customHeight="true" outlineLevel="0" collapsed="false">
      <c r="A9" s="26" t="s">
        <v>52</v>
      </c>
      <c r="B9" s="27" t="s">
        <v>355</v>
      </c>
      <c r="C9" s="27" t="s">
        <v>366</v>
      </c>
      <c r="D9" s="48" t="s">
        <v>357</v>
      </c>
      <c r="E9" s="48" t="s">
        <v>357</v>
      </c>
      <c r="F9" s="6" t="s">
        <v>367</v>
      </c>
    </row>
    <row r="10" customFormat="false" ht="49.5" hidden="false" customHeight="true" outlineLevel="0" collapsed="false">
      <c r="A10" s="26" t="s">
        <v>53</v>
      </c>
      <c r="B10" s="27" t="s">
        <v>355</v>
      </c>
      <c r="C10" s="27" t="s">
        <v>368</v>
      </c>
      <c r="D10" s="48" t="s">
        <v>369</v>
      </c>
      <c r="E10" s="48" t="s">
        <v>357</v>
      </c>
      <c r="F10" s="6" t="s">
        <v>370</v>
      </c>
    </row>
    <row r="11" customFormat="false" ht="49.5" hidden="false" customHeight="true" outlineLevel="0" collapsed="false">
      <c r="A11" s="26" t="s">
        <v>54</v>
      </c>
      <c r="B11" s="27" t="s">
        <v>355</v>
      </c>
      <c r="C11" s="27" t="s">
        <v>371</v>
      </c>
      <c r="D11" s="48" t="s">
        <v>357</v>
      </c>
      <c r="E11" s="48" t="s">
        <v>372</v>
      </c>
      <c r="F11" s="6" t="s">
        <v>373</v>
      </c>
    </row>
    <row r="12" customFormat="false" ht="49.5" hidden="false" customHeight="true" outlineLevel="0" collapsed="false">
      <c r="A12" s="26" t="s">
        <v>55</v>
      </c>
      <c r="B12" s="27" t="s">
        <v>355</v>
      </c>
      <c r="C12" s="27" t="s">
        <v>368</v>
      </c>
      <c r="D12" s="48" t="s">
        <v>357</v>
      </c>
      <c r="E12" s="48" t="s">
        <v>357</v>
      </c>
      <c r="F12" s="6" t="s">
        <v>374</v>
      </c>
    </row>
    <row r="13" customFormat="false" ht="49.5" hidden="false" customHeight="true" outlineLevel="0" collapsed="false">
      <c r="A13" s="26" t="s">
        <v>335</v>
      </c>
      <c r="B13" s="27" t="s">
        <v>375</v>
      </c>
      <c r="C13" s="27" t="s">
        <v>376</v>
      </c>
      <c r="D13" s="48" t="s">
        <v>357</v>
      </c>
      <c r="E13" s="48" t="s">
        <v>357</v>
      </c>
      <c r="F13" s="6" t="s">
        <v>377</v>
      </c>
    </row>
    <row r="14" customFormat="false" ht="49.5" hidden="false" customHeight="true" outlineLevel="0" collapsed="false">
      <c r="A14" s="26" t="s">
        <v>339</v>
      </c>
      <c r="B14" s="27" t="s">
        <v>378</v>
      </c>
      <c r="C14" s="27" t="s">
        <v>379</v>
      </c>
      <c r="D14" s="48" t="s">
        <v>357</v>
      </c>
      <c r="E14" s="48" t="s">
        <v>357</v>
      </c>
      <c r="F14" s="6" t="s">
        <v>380</v>
      </c>
    </row>
    <row r="15" customFormat="false" ht="49.5" hidden="false" customHeight="true" outlineLevel="0" collapsed="false">
      <c r="A15" s="26" t="s">
        <v>58</v>
      </c>
      <c r="B15" s="27" t="s">
        <v>381</v>
      </c>
      <c r="C15" s="27" t="s">
        <v>382</v>
      </c>
      <c r="D15" s="27" t="s">
        <v>383</v>
      </c>
      <c r="E15" s="48" t="s">
        <v>357</v>
      </c>
      <c r="F15" s="6" t="s">
        <v>384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2026-04-04T03:41:36Z</dcterms:created>
  <dc:creator>openpyxl</dc:creator>
  <dc:description/>
  <dc:language>en-US</dc:language>
  <cp:lastModifiedBy/>
  <dcterms:modified xsi:type="dcterms:W3CDTF">2026-04-04T03:41:36Z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